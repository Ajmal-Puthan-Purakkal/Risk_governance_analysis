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ssignments\Online assignment\Mentoverse\Murshida\2026\Roshan BTX\"/>
    </mc:Choice>
  </mc:AlternateContent>
  <bookViews>
    <workbookView xWindow="0" yWindow="0" windowWidth="23040" windowHeight="9252"/>
  </bookViews>
  <sheets>
    <sheet name="Data" sheetId="1" r:id="rId1"/>
    <sheet name="Variables" sheetId="5" r:id="rId2"/>
  </sheets>
  <calcPr calcId="152511"/>
</workbook>
</file>

<file path=xl/calcChain.xml><?xml version="1.0" encoding="utf-8"?>
<calcChain xmlns="http://schemas.openxmlformats.org/spreadsheetml/2006/main">
  <c r="Q73" i="1" l="1"/>
  <c r="P73" i="1"/>
  <c r="N73" i="1"/>
  <c r="M73" i="1"/>
  <c r="O73" i="1" s="1"/>
  <c r="Q72" i="1"/>
  <c r="P72" i="1"/>
  <c r="N72" i="1"/>
  <c r="M72" i="1"/>
  <c r="O72" i="1" s="1"/>
  <c r="Q71" i="1"/>
  <c r="P71" i="1"/>
  <c r="N71" i="1"/>
  <c r="M71" i="1"/>
  <c r="O71" i="1" s="1"/>
  <c r="Q70" i="1"/>
  <c r="P70" i="1"/>
  <c r="N70" i="1"/>
  <c r="M70" i="1"/>
  <c r="O70" i="1" s="1"/>
  <c r="Q69" i="1"/>
  <c r="P69" i="1"/>
  <c r="N69" i="1"/>
  <c r="M69" i="1"/>
  <c r="O69" i="1" s="1"/>
  <c r="Q68" i="1"/>
  <c r="P68" i="1"/>
  <c r="N68" i="1"/>
  <c r="M68" i="1"/>
  <c r="O68" i="1" s="1"/>
  <c r="Q67" i="1"/>
  <c r="P67" i="1"/>
  <c r="N67" i="1"/>
  <c r="M67" i="1"/>
  <c r="O67" i="1" s="1"/>
  <c r="Q66" i="1"/>
  <c r="P66" i="1"/>
  <c r="N66" i="1"/>
  <c r="M66" i="1"/>
  <c r="O66" i="1" s="1"/>
  <c r="Q65" i="1"/>
  <c r="P65" i="1"/>
  <c r="N65" i="1"/>
  <c r="M65" i="1"/>
  <c r="O65" i="1" s="1"/>
  <c r="Q64" i="1"/>
  <c r="P64" i="1"/>
  <c r="N64" i="1"/>
  <c r="M64" i="1"/>
  <c r="O64" i="1" s="1"/>
  <c r="Q63" i="1"/>
  <c r="P63" i="1"/>
  <c r="N63" i="1"/>
  <c r="M63" i="1"/>
  <c r="O63" i="1" s="1"/>
  <c r="Q62" i="1"/>
  <c r="P62" i="1"/>
  <c r="N62" i="1"/>
  <c r="M62" i="1"/>
  <c r="O62" i="1" s="1"/>
  <c r="Q61" i="1"/>
  <c r="P61" i="1"/>
  <c r="N61" i="1"/>
  <c r="M61" i="1"/>
  <c r="O61" i="1" s="1"/>
  <c r="Q60" i="1"/>
  <c r="P60" i="1"/>
  <c r="N60" i="1"/>
  <c r="M60" i="1"/>
  <c r="O60" i="1" s="1"/>
  <c r="Q59" i="1"/>
  <c r="P59" i="1"/>
  <c r="O59" i="1"/>
  <c r="N59" i="1"/>
  <c r="M59" i="1"/>
  <c r="Q58" i="1"/>
  <c r="P58" i="1"/>
  <c r="N58" i="1"/>
  <c r="M58" i="1"/>
  <c r="O58" i="1" s="1"/>
  <c r="Q57" i="1"/>
  <c r="P57" i="1"/>
  <c r="N57" i="1"/>
  <c r="M57" i="1"/>
  <c r="O57" i="1" s="1"/>
  <c r="Q56" i="1"/>
  <c r="P56" i="1"/>
  <c r="N56" i="1"/>
  <c r="M56" i="1"/>
  <c r="O56" i="1" s="1"/>
  <c r="Q55" i="1"/>
  <c r="P55" i="1"/>
  <c r="N55" i="1"/>
  <c r="M55" i="1"/>
  <c r="O55" i="1" s="1"/>
  <c r="Q54" i="1"/>
  <c r="P54" i="1"/>
  <c r="N54" i="1"/>
  <c r="M54" i="1"/>
  <c r="O54" i="1" s="1"/>
  <c r="Q53" i="1"/>
  <c r="P53" i="1"/>
  <c r="N53" i="1"/>
  <c r="M53" i="1"/>
  <c r="O53" i="1" s="1"/>
  <c r="Q52" i="1"/>
  <c r="P52" i="1"/>
  <c r="N52" i="1"/>
  <c r="M52" i="1"/>
  <c r="O52" i="1" s="1"/>
  <c r="Q51" i="1"/>
  <c r="P51" i="1"/>
  <c r="N51" i="1"/>
  <c r="M51" i="1"/>
  <c r="O51" i="1" s="1"/>
  <c r="Q50" i="1"/>
  <c r="P50" i="1"/>
  <c r="N50" i="1"/>
  <c r="M50" i="1"/>
  <c r="O50" i="1" s="1"/>
  <c r="Q49" i="1"/>
  <c r="P49" i="1"/>
  <c r="N49" i="1"/>
  <c r="M49" i="1"/>
  <c r="O49" i="1" s="1"/>
  <c r="Q48" i="1"/>
  <c r="P48" i="1"/>
  <c r="N48" i="1"/>
  <c r="M48" i="1"/>
  <c r="O48" i="1" s="1"/>
  <c r="Q47" i="1"/>
  <c r="P47" i="1"/>
  <c r="N47" i="1"/>
  <c r="M47" i="1"/>
  <c r="O47" i="1" s="1"/>
  <c r="Q46" i="1"/>
  <c r="P46" i="1"/>
  <c r="N46" i="1"/>
  <c r="M46" i="1"/>
  <c r="O46" i="1" s="1"/>
  <c r="Q45" i="1"/>
  <c r="P45" i="1"/>
  <c r="N45" i="1"/>
  <c r="M45" i="1"/>
  <c r="O45" i="1" s="1"/>
  <c r="Q44" i="1"/>
  <c r="P44" i="1"/>
  <c r="N44" i="1"/>
  <c r="M44" i="1"/>
  <c r="O44" i="1" s="1"/>
  <c r="Q43" i="1"/>
  <c r="P43" i="1"/>
  <c r="N43" i="1"/>
  <c r="M43" i="1"/>
  <c r="O43" i="1" s="1"/>
  <c r="Q42" i="1"/>
  <c r="P42" i="1"/>
  <c r="N42" i="1"/>
  <c r="M42" i="1"/>
  <c r="O42" i="1" s="1"/>
  <c r="Q41" i="1"/>
  <c r="P41" i="1"/>
  <c r="N41" i="1"/>
  <c r="M41" i="1"/>
  <c r="O41" i="1" s="1"/>
  <c r="Q40" i="1"/>
  <c r="P40" i="1"/>
  <c r="N40" i="1"/>
  <c r="M40" i="1"/>
  <c r="O40" i="1" s="1"/>
  <c r="Q39" i="1"/>
  <c r="P39" i="1"/>
  <c r="N39" i="1"/>
  <c r="M39" i="1"/>
  <c r="O39" i="1" s="1"/>
  <c r="Q38" i="1"/>
  <c r="P38" i="1"/>
  <c r="N38" i="1"/>
  <c r="M38" i="1"/>
  <c r="O38" i="1" s="1"/>
  <c r="Q37" i="1"/>
  <c r="P37" i="1"/>
  <c r="N37" i="1"/>
  <c r="M37" i="1"/>
  <c r="O37" i="1" s="1"/>
  <c r="Q36" i="1"/>
  <c r="P36" i="1"/>
  <c r="N36" i="1"/>
  <c r="M36" i="1"/>
  <c r="O36" i="1" s="1"/>
  <c r="Q35" i="1"/>
  <c r="P35" i="1"/>
  <c r="N35" i="1"/>
  <c r="M35" i="1"/>
  <c r="O35" i="1" s="1"/>
  <c r="Q34" i="1"/>
  <c r="P34" i="1"/>
  <c r="N34" i="1"/>
  <c r="M34" i="1"/>
  <c r="O34" i="1" s="1"/>
  <c r="Q33" i="1"/>
  <c r="P33" i="1"/>
  <c r="N33" i="1"/>
  <c r="M33" i="1"/>
  <c r="O33" i="1" s="1"/>
  <c r="Q32" i="1"/>
  <c r="P32" i="1"/>
  <c r="N32" i="1"/>
  <c r="M32" i="1"/>
  <c r="O32" i="1" s="1"/>
  <c r="Q31" i="1"/>
  <c r="P31" i="1"/>
  <c r="N31" i="1"/>
  <c r="M31" i="1"/>
  <c r="O31" i="1" s="1"/>
  <c r="Q30" i="1"/>
  <c r="P30" i="1"/>
  <c r="N30" i="1"/>
  <c r="M30" i="1"/>
  <c r="O30" i="1" s="1"/>
  <c r="Q29" i="1"/>
  <c r="P29" i="1"/>
  <c r="N29" i="1"/>
  <c r="M29" i="1"/>
  <c r="O29" i="1" s="1"/>
  <c r="Q28" i="1"/>
  <c r="P28" i="1"/>
  <c r="N28" i="1"/>
  <c r="M28" i="1"/>
  <c r="O28" i="1" s="1"/>
  <c r="Q27" i="1"/>
  <c r="P27" i="1"/>
  <c r="N27" i="1"/>
  <c r="M27" i="1"/>
  <c r="O27" i="1" s="1"/>
  <c r="Q26" i="1"/>
  <c r="P26" i="1"/>
  <c r="N26" i="1"/>
  <c r="M26" i="1"/>
  <c r="O26" i="1" s="1"/>
  <c r="Q25" i="1"/>
  <c r="P25" i="1"/>
  <c r="N25" i="1"/>
  <c r="M25" i="1"/>
  <c r="O25" i="1" s="1"/>
  <c r="Q24" i="1"/>
  <c r="P24" i="1"/>
  <c r="N24" i="1"/>
  <c r="M24" i="1"/>
  <c r="O24" i="1" s="1"/>
  <c r="Q23" i="1"/>
  <c r="P23" i="1"/>
  <c r="N23" i="1"/>
  <c r="M23" i="1"/>
  <c r="O23" i="1" s="1"/>
  <c r="Q22" i="1"/>
  <c r="P22" i="1"/>
  <c r="N22" i="1"/>
  <c r="M22" i="1"/>
  <c r="O22" i="1" s="1"/>
  <c r="Q21" i="1"/>
  <c r="P21" i="1"/>
  <c r="N21" i="1"/>
  <c r="M21" i="1"/>
  <c r="O21" i="1" s="1"/>
  <c r="Q20" i="1"/>
  <c r="P20" i="1"/>
  <c r="N20" i="1"/>
  <c r="M20" i="1"/>
  <c r="O20" i="1" s="1"/>
  <c r="Q19" i="1"/>
  <c r="P19" i="1"/>
  <c r="N19" i="1"/>
  <c r="M19" i="1"/>
  <c r="O19" i="1" s="1"/>
  <c r="Q18" i="1"/>
  <c r="P18" i="1"/>
  <c r="N18" i="1"/>
  <c r="M18" i="1"/>
  <c r="O18" i="1" s="1"/>
  <c r="Q17" i="1"/>
  <c r="P17" i="1"/>
  <c r="N17" i="1"/>
  <c r="M17" i="1"/>
  <c r="O17" i="1" s="1"/>
  <c r="Q16" i="1"/>
  <c r="P16" i="1"/>
  <c r="N16" i="1"/>
  <c r="M16" i="1"/>
  <c r="O16" i="1" s="1"/>
  <c r="Q15" i="1"/>
  <c r="P15" i="1"/>
  <c r="N15" i="1"/>
  <c r="M15" i="1"/>
  <c r="O15" i="1" s="1"/>
  <c r="Q14" i="1"/>
  <c r="P14" i="1"/>
  <c r="N14" i="1"/>
  <c r="M14" i="1"/>
  <c r="O14" i="1" s="1"/>
  <c r="Q13" i="1"/>
  <c r="P13" i="1"/>
  <c r="N13" i="1"/>
  <c r="M13" i="1"/>
  <c r="O13" i="1" s="1"/>
  <c r="Q12" i="1"/>
  <c r="P12" i="1"/>
  <c r="N12" i="1"/>
  <c r="M12" i="1"/>
  <c r="O12" i="1" s="1"/>
  <c r="Q11" i="1"/>
  <c r="P11" i="1"/>
  <c r="N11" i="1"/>
  <c r="M11" i="1"/>
  <c r="O11" i="1" s="1"/>
  <c r="Q10" i="1"/>
  <c r="P10" i="1"/>
  <c r="N10" i="1"/>
  <c r="M10" i="1"/>
  <c r="O10" i="1" s="1"/>
  <c r="Q9" i="1"/>
  <c r="P9" i="1"/>
  <c r="N9" i="1"/>
  <c r="M9" i="1"/>
  <c r="O9" i="1" s="1"/>
  <c r="Q8" i="1"/>
  <c r="P8" i="1"/>
  <c r="N8" i="1"/>
  <c r="M8" i="1"/>
  <c r="O8" i="1" s="1"/>
  <c r="Q7" i="1"/>
  <c r="P7" i="1"/>
  <c r="N7" i="1"/>
  <c r="M7" i="1"/>
  <c r="O7" i="1" s="1"/>
  <c r="Q6" i="1"/>
  <c r="P6" i="1"/>
  <c r="N6" i="1"/>
  <c r="M6" i="1"/>
  <c r="O6" i="1" s="1"/>
  <c r="Q5" i="1"/>
  <c r="P5" i="1"/>
  <c r="N5" i="1"/>
  <c r="M5" i="1"/>
  <c r="O5" i="1" s="1"/>
  <c r="Q4" i="1"/>
  <c r="P4" i="1"/>
  <c r="N4" i="1"/>
  <c r="M4" i="1"/>
  <c r="O4" i="1" s="1"/>
  <c r="Q3" i="1"/>
  <c r="P3" i="1"/>
  <c r="N3" i="1"/>
  <c r="M3" i="1"/>
  <c r="O3" i="1" s="1"/>
  <c r="Q2" i="1"/>
  <c r="P2" i="1"/>
  <c r="N2" i="1"/>
  <c r="M2" i="1"/>
  <c r="O2" i="1" s="1"/>
</calcChain>
</file>

<file path=xl/sharedStrings.xml><?xml version="1.0" encoding="utf-8"?>
<sst xmlns="http://schemas.openxmlformats.org/spreadsheetml/2006/main" count="336" uniqueCount="200">
  <si>
    <t>Report_ID</t>
  </si>
  <si>
    <t>Company</t>
  </si>
  <si>
    <t>Industry</t>
  </si>
  <si>
    <t>Year</t>
  </si>
  <si>
    <t>Disclosure_Length_Words</t>
  </si>
  <si>
    <t>Risk_Governance_Score</t>
  </si>
  <si>
    <t>Fog_Index</t>
  </si>
  <si>
    <t>Flesch_Reading_Ease</t>
  </si>
  <si>
    <t>Avg_Sentence_Length</t>
  </si>
  <si>
    <t>Positive_Words</t>
  </si>
  <si>
    <t>Negative_Words</t>
  </si>
  <si>
    <t>Uncertain_Words</t>
  </si>
  <si>
    <t>Net_Sentiment</t>
  </si>
  <si>
    <t>Readability_Score</t>
  </si>
  <si>
    <t>Sentiment_Score</t>
  </si>
  <si>
    <t>Banking_Dummy</t>
  </si>
  <si>
    <t>Energy_Dummy</t>
  </si>
  <si>
    <t>Source_ID</t>
  </si>
  <si>
    <t>HSBC_2020</t>
  </si>
  <si>
    <t>HSBC</t>
  </si>
  <si>
    <t>Banking</t>
  </si>
  <si>
    <t>SRC-HSBC-2020</t>
  </si>
  <si>
    <t>HSBC_2021</t>
  </si>
  <si>
    <t>SRC-HSBC-2021</t>
  </si>
  <si>
    <t>HSBC_2022</t>
  </si>
  <si>
    <t>SRC-HSBC-2022</t>
  </si>
  <si>
    <t>HSBC_2023</t>
  </si>
  <si>
    <t>SRC-HSBC-2023</t>
  </si>
  <si>
    <t>HSBC_2024</t>
  </si>
  <si>
    <t>SRC-HSBC-2024</t>
  </si>
  <si>
    <t>HSBC_2025</t>
  </si>
  <si>
    <t>SRC-HSBC-2025</t>
  </si>
  <si>
    <t>Barclays_2020</t>
  </si>
  <si>
    <t>Barclays</t>
  </si>
  <si>
    <t>SRC-BARCLAYS-2020</t>
  </si>
  <si>
    <t>Barclays_2021</t>
  </si>
  <si>
    <t>SRC-BARCLAYS-2021</t>
  </si>
  <si>
    <t>Barclays_2022</t>
  </si>
  <si>
    <t>SRC-BARCLAYS-2022</t>
  </si>
  <si>
    <t>Barclays_2023</t>
  </si>
  <si>
    <t>SRC-BARCLAYS-2023</t>
  </si>
  <si>
    <t>Barclays_2024</t>
  </si>
  <si>
    <t>SRC-BARCLAYS-2024</t>
  </si>
  <si>
    <t>Barclays_2025</t>
  </si>
  <si>
    <t>SRC-BARCLAYS-2025</t>
  </si>
  <si>
    <t>Standard_Chartered_2020</t>
  </si>
  <si>
    <t>Standard Chartered</t>
  </si>
  <si>
    <t>SRC-SC-2020</t>
  </si>
  <si>
    <t>Standard_Chartered_2021</t>
  </si>
  <si>
    <t>SRC-SC-2021</t>
  </si>
  <si>
    <t>Standard_Chartered_2022</t>
  </si>
  <si>
    <t>SRC-SC-2022</t>
  </si>
  <si>
    <t>Standard_Chartered_2023</t>
  </si>
  <si>
    <t>SRC-SC-2023</t>
  </si>
  <si>
    <t>Standard_Chartered_2024</t>
  </si>
  <si>
    <t>SRC-SC-2024</t>
  </si>
  <si>
    <t>Standard_Chartered_2025</t>
  </si>
  <si>
    <t>SRC-SC-2025</t>
  </si>
  <si>
    <t>Santander_2020</t>
  </si>
  <si>
    <t>Santander</t>
  </si>
  <si>
    <t>SRC-SANTANDER-2020</t>
  </si>
  <si>
    <t>Santander_2021</t>
  </si>
  <si>
    <t>SRC-SANTANDER-2021</t>
  </si>
  <si>
    <t>Santander_2022</t>
  </si>
  <si>
    <t>SRC-SANTANDER-2022</t>
  </si>
  <si>
    <t>Santander_2023</t>
  </si>
  <si>
    <t>SRC-SANTANDER-2023</t>
  </si>
  <si>
    <t>Santander_2024</t>
  </si>
  <si>
    <t>SRC-SANTANDER-2024</t>
  </si>
  <si>
    <t>Santander_2025</t>
  </si>
  <si>
    <t>SRC-SANTANDER-2025</t>
  </si>
  <si>
    <t>BP_2020</t>
  </si>
  <si>
    <t>BP</t>
  </si>
  <si>
    <t>Energy</t>
  </si>
  <si>
    <t>SRC-BP-2020</t>
  </si>
  <si>
    <t>BP_2021</t>
  </si>
  <si>
    <t>SRC-BP-2021</t>
  </si>
  <si>
    <t>BP_2022</t>
  </si>
  <si>
    <t>SRC-BP-2022</t>
  </si>
  <si>
    <t>BP_2023</t>
  </si>
  <si>
    <t>SRC-BP-2023</t>
  </si>
  <si>
    <t>BP_2024</t>
  </si>
  <si>
    <t>SRC-BP-2024</t>
  </si>
  <si>
    <t>BP_2025</t>
  </si>
  <si>
    <t>SRC-BP-2025</t>
  </si>
  <si>
    <t>Shell_2020</t>
  </si>
  <si>
    <t>Shell</t>
  </si>
  <si>
    <t>SRC-SHELL-2020</t>
  </si>
  <si>
    <t>Shell_2021</t>
  </si>
  <si>
    <t>SRC-SHELL-2021</t>
  </si>
  <si>
    <t>Shell_2022</t>
  </si>
  <si>
    <t>SRC-SHELL-2022</t>
  </si>
  <si>
    <t>Shell_2023</t>
  </si>
  <si>
    <t>SRC-SHELL-2023</t>
  </si>
  <si>
    <t>Shell_2024</t>
  </si>
  <si>
    <t>SRC-SHELL-2024</t>
  </si>
  <si>
    <t>Shell_2025</t>
  </si>
  <si>
    <t>SRC-SHELL-2025</t>
  </si>
  <si>
    <t>ExxonMobil_2020</t>
  </si>
  <si>
    <t>ExxonMobil</t>
  </si>
  <si>
    <t>SRC-EXXONMOBIL-2020</t>
  </si>
  <si>
    <t>ExxonMobil_2021</t>
  </si>
  <si>
    <t>SRC-EXXONMOBIL-2021</t>
  </si>
  <si>
    <t>ExxonMobil_2022</t>
  </si>
  <si>
    <t>SRC-EXXONMOBIL-2022</t>
  </si>
  <si>
    <t>ExxonMobil_2023</t>
  </si>
  <si>
    <t>SRC-EXXONMOBIL-2023</t>
  </si>
  <si>
    <t>ExxonMobil_2024</t>
  </si>
  <si>
    <t>SRC-EXXONMOBIL-2024</t>
  </si>
  <si>
    <t>ExxonMobil_2025</t>
  </si>
  <si>
    <t>SRC-EXXONMOBIL-2025</t>
  </si>
  <si>
    <t>TotalEnergies_2020</t>
  </si>
  <si>
    <t>TotalEnergies</t>
  </si>
  <si>
    <t>SRC-TOTAL-2020</t>
  </si>
  <si>
    <t>TotalEnergies_2021</t>
  </si>
  <si>
    <t>SRC-TOTAL-2021</t>
  </si>
  <si>
    <t>TotalEnergies_2022</t>
  </si>
  <si>
    <t>SRC-TOTAL-2022</t>
  </si>
  <si>
    <t>TotalEnergies_2023</t>
  </si>
  <si>
    <t>SRC-TOTAL-2023</t>
  </si>
  <si>
    <t>TotalEnergies_2024</t>
  </si>
  <si>
    <t>SRC-TOTAL-2024</t>
  </si>
  <si>
    <t>TotalEnergies_2025</t>
  </si>
  <si>
    <t>SRC-TOTAL-2025</t>
  </si>
  <si>
    <t>Tata_Steel_2020</t>
  </si>
  <si>
    <t>Tata Steel</t>
  </si>
  <si>
    <t>Manufacturing</t>
  </si>
  <si>
    <t>SRC-TATASTEEL-2020</t>
  </si>
  <si>
    <t>Tata_Steel_2021</t>
  </si>
  <si>
    <t>SRC-TATASTEEL-2021</t>
  </si>
  <si>
    <t>Tata_Steel_2022</t>
  </si>
  <si>
    <t>SRC-TATASTEEL-2022</t>
  </si>
  <si>
    <t>Tata_Steel_2023</t>
  </si>
  <si>
    <t>SRC-TATASTEEL-2023</t>
  </si>
  <si>
    <t>Tata_Steel_2024</t>
  </si>
  <si>
    <t>SRC-TATASTEEL-2024</t>
  </si>
  <si>
    <t>Tata_Steel_2025</t>
  </si>
  <si>
    <t>SRC-TATASTEEL-2025</t>
  </si>
  <si>
    <t>Siemens_2020</t>
  </si>
  <si>
    <t>Siemens</t>
  </si>
  <si>
    <t>SRC-SIEMENS-2020</t>
  </si>
  <si>
    <t>Siemens_2021</t>
  </si>
  <si>
    <t>SRC-SIEMENS-2021</t>
  </si>
  <si>
    <t>Siemens_2022</t>
  </si>
  <si>
    <t>SRC-SIEMENS-2022</t>
  </si>
  <si>
    <t>Siemens_2023</t>
  </si>
  <si>
    <t>SRC-SIEMENS-2023</t>
  </si>
  <si>
    <t>Siemens_2024</t>
  </si>
  <si>
    <t>SRC-SIEMENS-2024</t>
  </si>
  <si>
    <t>Siemens_2025</t>
  </si>
  <si>
    <t>SRC-SIEMENS-2025</t>
  </si>
  <si>
    <t>Caterpillar_2020</t>
  </si>
  <si>
    <t>Caterpillar</t>
  </si>
  <si>
    <t>SRC-CATERPILLAR-2020</t>
  </si>
  <si>
    <t>Caterpillar_2021</t>
  </si>
  <si>
    <t>SRC-CATERPILLAR-2021</t>
  </si>
  <si>
    <t>Caterpillar_2022</t>
  </si>
  <si>
    <t>SRC-CATERPILLAR-2022</t>
  </si>
  <si>
    <t>Caterpillar_2023</t>
  </si>
  <si>
    <t>SRC-CATERPILLAR-2023</t>
  </si>
  <si>
    <t>Caterpillar_2024</t>
  </si>
  <si>
    <t>SRC-CATERPILLAR-2024</t>
  </si>
  <si>
    <t>Caterpillar_2025</t>
  </si>
  <si>
    <t>SRC-CATERPILLAR-2025</t>
  </si>
  <si>
    <t>Toyota_2020</t>
  </si>
  <si>
    <t>Toyota</t>
  </si>
  <si>
    <t>SRC-TOYOTA-2020</t>
  </si>
  <si>
    <t>Toyota_2021</t>
  </si>
  <si>
    <t>SRC-TOYOTA-2021</t>
  </si>
  <si>
    <t>Toyota_2022</t>
  </si>
  <si>
    <t>SRC-TOYOTA-2022</t>
  </si>
  <si>
    <t>Toyota_2023</t>
  </si>
  <si>
    <t>SRC-TOYOTA-2023</t>
  </si>
  <si>
    <t>Toyota_2024</t>
  </si>
  <si>
    <t>SRC-TOYOTA-2024</t>
  </si>
  <si>
    <t>Toyota_2025</t>
  </si>
  <si>
    <t>SRC-TOYOTA-2025</t>
  </si>
  <si>
    <t>Variable</t>
  </si>
  <si>
    <t>TFIDF_Risk_Score</t>
  </si>
  <si>
    <t>Governance_Index</t>
  </si>
  <si>
    <t>Disclosure_Depth_Index</t>
  </si>
  <si>
    <t>Role in Analysis</t>
  </si>
  <si>
    <t>Measurement / Description</t>
  </si>
  <si>
    <t>Independent Variable (Main Predictor)</t>
  </si>
  <si>
    <t>Frequency of risk-governance disclosure terms per 1,000 words (e.g., risk committee, risk oversight, enterprise risk management, chief risk officer, internal control, audit committee, risk appetite).</t>
  </si>
  <si>
    <t>Dependent Variable (Main Outcome)</t>
  </si>
  <si>
    <t>Measure of corporate disclosure quality/depth. It is the main dependent variable in the regression model.</t>
  </si>
  <si>
    <t>Dependent / Supporting Outcome Variable</t>
  </si>
  <si>
    <t>Readability measure calculated using readability formulas (Fog Index, Flesch Reading Ease, average sentence length).</t>
  </si>
  <si>
    <t>Net sentiment based on positive, negative, and uncertain financial words.</t>
  </si>
  <si>
    <t>Supporting NLP Variable</t>
  </si>
  <si>
    <t>Risk-related text importance score (used as an additional text-based measure).</t>
  </si>
  <si>
    <t>Supporting Variable</t>
  </si>
  <si>
    <t>Composite governance-related disclosure measure.</t>
  </si>
  <si>
    <t>Control / Descriptive Variable</t>
  </si>
  <si>
    <t>Total number of words in the disclosure/report text.</t>
  </si>
  <si>
    <t>Control Variable / Trend Variable</t>
  </si>
  <si>
    <t>Reporting year (2020–2025) used for longitudinal comparison and regression control.</t>
  </si>
  <si>
    <t>Control Variable / Grouping Variable</t>
  </si>
  <si>
    <t>Industry category: Banking, Energy, Manufacturing. Used for ANOVA and regression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</si>
</sst>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00"/>
  </numFmts>
  <fonts count="4">
    <font>
      <sz val="11"/>
      <name val="Carlito"/>
    </font>
    <font>
      <sz val="11"/>
      <color theme="1"/>
      <name val="Carlito"/>
    </font>
    <font>
      <b/>
      <sz val="10"/>
      <color theme="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numFmt numFmtId="165" formatCode="0.000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alysisDataTable" displayName="AnalysisDataTable" ref="A1:R73" totalsRowShown="0" headerRowDxfId="22" dataDxfId="20" headerRowBorderDxfId="21" tableBorderDxfId="19" totalsRowBorderDxfId="18">
  <tableColumns count="18">
    <tableColumn id="1" name="Report_ID" dataDxfId="17"/>
    <tableColumn id="2" name="Company" dataDxfId="16"/>
    <tableColumn id="3" name="Industry" dataDxfId="15"/>
    <tableColumn id="4" name="Year" dataDxfId="14"/>
    <tableColumn id="5" name="Disclosure_Length_Words" dataDxfId="13"/>
    <tableColumn id="20" name="Risk_Governance_Score" dataDxfId="12"/>
    <tableColumn id="7" name="Fog_Index" dataDxfId="11"/>
    <tableColumn id="8" name="Flesch_Reading_Ease" dataDxfId="10"/>
    <tableColumn id="9" name="Avg_Sentence_Length" dataDxfId="9"/>
    <tableColumn id="10" name="Positive_Words" dataDxfId="8"/>
    <tableColumn id="11" name="Negative_Words" dataDxfId="7"/>
    <tableColumn id="12" name="Uncertain_Words" dataDxfId="6"/>
    <tableColumn id="13" name="Net_Sentiment" dataDxfId="5"/>
    <tableColumn id="14" name="Readability_Score" dataDxfId="4"/>
    <tableColumn id="15" name="Sentiment_Score" dataDxfId="3"/>
    <tableColumn id="16" name="Banking_Dummy" dataDxfId="2"/>
    <tableColumn id="17" name="Energy_Dummy" dataDxfId="1"/>
    <tableColumn id="18" name="Source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/>
  </sheetViews>
  <sheetFormatPr defaultRowHeight="13.8"/>
  <cols>
    <col min="1" max="1" width="23" customWidth="1"/>
    <col min="2" max="2" width="20" customWidth="1"/>
    <col min="3" max="3" width="17" customWidth="1"/>
    <col min="4" max="4" width="9" customWidth="1"/>
    <col min="5" max="6" width="22" customWidth="1"/>
    <col min="7" max="7" width="12" customWidth="1"/>
    <col min="8" max="8" width="21" customWidth="1"/>
    <col min="9" max="9" width="20" customWidth="1"/>
    <col min="10" max="12" width="16" customWidth="1"/>
    <col min="13" max="13" width="12.3984375" bestFit="1" customWidth="1"/>
    <col min="14" max="15" width="18" customWidth="1"/>
    <col min="16" max="17" width="15" customWidth="1"/>
    <col min="18" max="18" width="22" customWidth="1"/>
    <col min="19" max="19" width="50.8984375" bestFit="1" customWidth="1"/>
  </cols>
  <sheetData>
    <row r="1" spans="1:18" ht="14.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.4" customHeight="1">
      <c r="A2" s="3" t="s">
        <v>18</v>
      </c>
      <c r="B2" s="4" t="s">
        <v>19</v>
      </c>
      <c r="C2" s="4" t="s">
        <v>20</v>
      </c>
      <c r="D2" s="5">
        <v>2020</v>
      </c>
      <c r="E2" s="6">
        <v>350533</v>
      </c>
      <c r="F2" s="7">
        <v>2.6920000000000002</v>
      </c>
      <c r="G2" s="8">
        <v>19.54</v>
      </c>
      <c r="H2" s="8">
        <v>28.32</v>
      </c>
      <c r="I2" s="8">
        <v>27.01</v>
      </c>
      <c r="J2" s="6">
        <v>3371</v>
      </c>
      <c r="K2" s="6">
        <v>2947</v>
      </c>
      <c r="L2" s="6">
        <v>2614</v>
      </c>
      <c r="M2" s="9">
        <f t="shared" ref="M2:M33" si="0">ROUND((J2-K2)/E2,6)</f>
        <v>1.2099999999999999E-3</v>
      </c>
      <c r="N2" s="17">
        <f t="shared" ref="N2:N33" si="1">H2</f>
        <v>28.32</v>
      </c>
      <c r="O2" s="9">
        <f t="shared" ref="O2:O33" si="2">M2</f>
        <v>1.2099999999999999E-3</v>
      </c>
      <c r="P2" s="5">
        <f t="shared" ref="P2:P33" si="3">IF(C2="Banking",1,0)</f>
        <v>1</v>
      </c>
      <c r="Q2" s="5">
        <f t="shared" ref="Q2:Q33" si="4">IF(C2="Energy",1,0)</f>
        <v>0</v>
      </c>
      <c r="R2" s="4" t="s">
        <v>21</v>
      </c>
    </row>
    <row r="3" spans="1:18" ht="14.4" customHeight="1">
      <c r="A3" s="3" t="s">
        <v>22</v>
      </c>
      <c r="B3" s="4" t="s">
        <v>19</v>
      </c>
      <c r="C3" s="4" t="s">
        <v>20</v>
      </c>
      <c r="D3" s="5">
        <v>2021</v>
      </c>
      <c r="E3" s="6">
        <v>357853</v>
      </c>
      <c r="F3" s="7">
        <v>2.6989999999999998</v>
      </c>
      <c r="G3" s="8">
        <v>20.59</v>
      </c>
      <c r="H3" s="8">
        <v>27.53</v>
      </c>
      <c r="I3" s="8">
        <v>27.59</v>
      </c>
      <c r="J3" s="6">
        <v>3420</v>
      </c>
      <c r="K3" s="6">
        <v>2616</v>
      </c>
      <c r="L3" s="6">
        <v>2582</v>
      </c>
      <c r="M3" s="9">
        <f t="shared" si="0"/>
        <v>2.2469999999999999E-3</v>
      </c>
      <c r="N3" s="17">
        <f t="shared" si="1"/>
        <v>27.53</v>
      </c>
      <c r="O3" s="9">
        <f t="shared" si="2"/>
        <v>2.2469999999999999E-3</v>
      </c>
      <c r="P3" s="5">
        <f t="shared" si="3"/>
        <v>1</v>
      </c>
      <c r="Q3" s="5">
        <f t="shared" si="4"/>
        <v>0</v>
      </c>
      <c r="R3" s="4" t="s">
        <v>23</v>
      </c>
    </row>
    <row r="4" spans="1:18" ht="14.4" customHeight="1">
      <c r="A4" s="3" t="s">
        <v>24</v>
      </c>
      <c r="B4" s="4" t="s">
        <v>19</v>
      </c>
      <c r="C4" s="4" t="s">
        <v>20</v>
      </c>
      <c r="D4" s="5">
        <v>2022</v>
      </c>
      <c r="E4" s="6">
        <v>334079</v>
      </c>
      <c r="F4" s="7">
        <v>2.9209999999999998</v>
      </c>
      <c r="G4" s="8">
        <v>20.13</v>
      </c>
      <c r="H4" s="8">
        <v>30.7</v>
      </c>
      <c r="I4" s="8">
        <v>26</v>
      </c>
      <c r="J4" s="6">
        <v>3190</v>
      </c>
      <c r="K4" s="6">
        <v>2702</v>
      </c>
      <c r="L4" s="6">
        <v>2110</v>
      </c>
      <c r="M4" s="9">
        <f t="shared" si="0"/>
        <v>1.4610000000000001E-3</v>
      </c>
      <c r="N4" s="17">
        <f t="shared" si="1"/>
        <v>30.7</v>
      </c>
      <c r="O4" s="9">
        <f t="shared" si="2"/>
        <v>1.4610000000000001E-3</v>
      </c>
      <c r="P4" s="5">
        <f t="shared" si="3"/>
        <v>1</v>
      </c>
      <c r="Q4" s="5">
        <f t="shared" si="4"/>
        <v>0</v>
      </c>
      <c r="R4" s="4" t="s">
        <v>25</v>
      </c>
    </row>
    <row r="5" spans="1:18" ht="14.4" customHeight="1">
      <c r="A5" s="3" t="s">
        <v>26</v>
      </c>
      <c r="B5" s="4" t="s">
        <v>19</v>
      </c>
      <c r="C5" s="4" t="s">
        <v>20</v>
      </c>
      <c r="D5" s="5">
        <v>2023</v>
      </c>
      <c r="E5" s="6">
        <v>352365</v>
      </c>
      <c r="F5" s="7">
        <v>2.9209999999999998</v>
      </c>
      <c r="G5" s="8">
        <v>19.13</v>
      </c>
      <c r="H5" s="8">
        <v>33.159999999999997</v>
      </c>
      <c r="I5" s="8">
        <v>27.24</v>
      </c>
      <c r="J5" s="6">
        <v>3551</v>
      </c>
      <c r="K5" s="6">
        <v>2758</v>
      </c>
      <c r="L5" s="6">
        <v>2239</v>
      </c>
      <c r="M5" s="9">
        <f t="shared" si="0"/>
        <v>2.251E-3</v>
      </c>
      <c r="N5" s="17">
        <f t="shared" si="1"/>
        <v>33.159999999999997</v>
      </c>
      <c r="O5" s="9">
        <f t="shared" si="2"/>
        <v>2.251E-3</v>
      </c>
      <c r="P5" s="5">
        <f t="shared" si="3"/>
        <v>1</v>
      </c>
      <c r="Q5" s="5">
        <f t="shared" si="4"/>
        <v>0</v>
      </c>
      <c r="R5" s="4" t="s">
        <v>27</v>
      </c>
    </row>
    <row r="6" spans="1:18" ht="14.4" customHeight="1">
      <c r="A6" s="3" t="s">
        <v>28</v>
      </c>
      <c r="B6" s="4" t="s">
        <v>19</v>
      </c>
      <c r="C6" s="4" t="s">
        <v>20</v>
      </c>
      <c r="D6" s="5">
        <v>2024</v>
      </c>
      <c r="E6" s="6">
        <v>327905</v>
      </c>
      <c r="F6" s="7">
        <v>2.9910000000000001</v>
      </c>
      <c r="G6" s="8">
        <v>19.27</v>
      </c>
      <c r="H6" s="8">
        <v>30.44</v>
      </c>
      <c r="I6" s="8">
        <v>26.93</v>
      </c>
      <c r="J6" s="6">
        <v>3239</v>
      </c>
      <c r="K6" s="6">
        <v>2535</v>
      </c>
      <c r="L6" s="6">
        <v>2215</v>
      </c>
      <c r="M6" s="9">
        <f t="shared" si="0"/>
        <v>2.147E-3</v>
      </c>
      <c r="N6" s="17">
        <f t="shared" si="1"/>
        <v>30.44</v>
      </c>
      <c r="O6" s="9">
        <f t="shared" si="2"/>
        <v>2.147E-3</v>
      </c>
      <c r="P6" s="5">
        <f t="shared" si="3"/>
        <v>1</v>
      </c>
      <c r="Q6" s="5">
        <f t="shared" si="4"/>
        <v>0</v>
      </c>
      <c r="R6" s="4" t="s">
        <v>29</v>
      </c>
    </row>
    <row r="7" spans="1:18" ht="14.4" customHeight="1">
      <c r="A7" s="3" t="s">
        <v>30</v>
      </c>
      <c r="B7" s="4" t="s">
        <v>19</v>
      </c>
      <c r="C7" s="4" t="s">
        <v>20</v>
      </c>
      <c r="D7" s="5">
        <v>2025</v>
      </c>
      <c r="E7" s="6">
        <v>357299</v>
      </c>
      <c r="F7" s="7">
        <v>3.077</v>
      </c>
      <c r="G7" s="8">
        <v>19.91</v>
      </c>
      <c r="H7" s="8">
        <v>29.01</v>
      </c>
      <c r="I7" s="8">
        <v>27.68</v>
      </c>
      <c r="J7" s="6">
        <v>3800</v>
      </c>
      <c r="K7" s="6">
        <v>2661</v>
      </c>
      <c r="L7" s="6">
        <v>2258</v>
      </c>
      <c r="M7" s="9">
        <f t="shared" si="0"/>
        <v>3.1879999999999999E-3</v>
      </c>
      <c r="N7" s="17">
        <f t="shared" si="1"/>
        <v>29.01</v>
      </c>
      <c r="O7" s="9">
        <f t="shared" si="2"/>
        <v>3.1879999999999999E-3</v>
      </c>
      <c r="P7" s="5">
        <f t="shared" si="3"/>
        <v>1</v>
      </c>
      <c r="Q7" s="5">
        <f t="shared" si="4"/>
        <v>0</v>
      </c>
      <c r="R7" s="4" t="s">
        <v>31</v>
      </c>
    </row>
    <row r="8" spans="1:18" ht="14.4" customHeight="1">
      <c r="A8" s="3" t="s">
        <v>32</v>
      </c>
      <c r="B8" s="4" t="s">
        <v>33</v>
      </c>
      <c r="C8" s="4" t="s">
        <v>20</v>
      </c>
      <c r="D8" s="5">
        <v>2020</v>
      </c>
      <c r="E8" s="6">
        <v>329274</v>
      </c>
      <c r="F8" s="7">
        <v>2.637</v>
      </c>
      <c r="G8" s="8">
        <v>19.82</v>
      </c>
      <c r="H8" s="8">
        <v>30.82</v>
      </c>
      <c r="I8" s="8">
        <v>28.37</v>
      </c>
      <c r="J8" s="6">
        <v>3007</v>
      </c>
      <c r="K8" s="6">
        <v>2944</v>
      </c>
      <c r="L8" s="6">
        <v>2237</v>
      </c>
      <c r="M8" s="9">
        <f t="shared" si="0"/>
        <v>1.9100000000000001E-4</v>
      </c>
      <c r="N8" s="17">
        <f t="shared" si="1"/>
        <v>30.82</v>
      </c>
      <c r="O8" s="9">
        <f t="shared" si="2"/>
        <v>1.9100000000000001E-4</v>
      </c>
      <c r="P8" s="5">
        <f t="shared" si="3"/>
        <v>1</v>
      </c>
      <c r="Q8" s="5">
        <f t="shared" si="4"/>
        <v>0</v>
      </c>
      <c r="R8" s="4" t="s">
        <v>34</v>
      </c>
    </row>
    <row r="9" spans="1:18" ht="14.4" customHeight="1">
      <c r="A9" s="3" t="s">
        <v>35</v>
      </c>
      <c r="B9" s="4" t="s">
        <v>33</v>
      </c>
      <c r="C9" s="4" t="s">
        <v>20</v>
      </c>
      <c r="D9" s="5">
        <v>2021</v>
      </c>
      <c r="E9" s="6">
        <v>315120</v>
      </c>
      <c r="F9" s="7">
        <v>2.8180000000000001</v>
      </c>
      <c r="G9" s="8">
        <v>20.23</v>
      </c>
      <c r="H9" s="8">
        <v>30.45</v>
      </c>
      <c r="I9" s="8">
        <v>27.59</v>
      </c>
      <c r="J9" s="6">
        <v>2940</v>
      </c>
      <c r="K9" s="6">
        <v>2496</v>
      </c>
      <c r="L9" s="6">
        <v>2061</v>
      </c>
      <c r="M9" s="9">
        <f t="shared" si="0"/>
        <v>1.4090000000000001E-3</v>
      </c>
      <c r="N9" s="17">
        <f t="shared" si="1"/>
        <v>30.45</v>
      </c>
      <c r="O9" s="9">
        <f t="shared" si="2"/>
        <v>1.4090000000000001E-3</v>
      </c>
      <c r="P9" s="5">
        <f t="shared" si="3"/>
        <v>1</v>
      </c>
      <c r="Q9" s="5">
        <f t="shared" si="4"/>
        <v>0</v>
      </c>
      <c r="R9" s="4" t="s">
        <v>36</v>
      </c>
    </row>
    <row r="10" spans="1:18" ht="14.4" customHeight="1">
      <c r="A10" s="3" t="s">
        <v>37</v>
      </c>
      <c r="B10" s="4" t="s">
        <v>33</v>
      </c>
      <c r="C10" s="4" t="s">
        <v>20</v>
      </c>
      <c r="D10" s="5">
        <v>2022</v>
      </c>
      <c r="E10" s="6">
        <v>294724</v>
      </c>
      <c r="F10" s="7">
        <v>2.6680000000000001</v>
      </c>
      <c r="G10" s="8">
        <v>19.68</v>
      </c>
      <c r="H10" s="8">
        <v>31.01</v>
      </c>
      <c r="I10" s="8">
        <v>26.36</v>
      </c>
      <c r="J10" s="6">
        <v>2777</v>
      </c>
      <c r="K10" s="6">
        <v>2432</v>
      </c>
      <c r="L10" s="6">
        <v>2086</v>
      </c>
      <c r="M10" s="9">
        <f t="shared" si="0"/>
        <v>1.1709999999999999E-3</v>
      </c>
      <c r="N10" s="17">
        <f t="shared" si="1"/>
        <v>31.01</v>
      </c>
      <c r="O10" s="9">
        <f t="shared" si="2"/>
        <v>1.1709999999999999E-3</v>
      </c>
      <c r="P10" s="5">
        <f t="shared" si="3"/>
        <v>1</v>
      </c>
      <c r="Q10" s="5">
        <f t="shared" si="4"/>
        <v>0</v>
      </c>
      <c r="R10" s="4" t="s">
        <v>38</v>
      </c>
    </row>
    <row r="11" spans="1:18" ht="14.4" customHeight="1">
      <c r="A11" s="3" t="s">
        <v>39</v>
      </c>
      <c r="B11" s="4" t="s">
        <v>33</v>
      </c>
      <c r="C11" s="4" t="s">
        <v>20</v>
      </c>
      <c r="D11" s="5">
        <v>2023</v>
      </c>
      <c r="E11" s="6">
        <v>299290</v>
      </c>
      <c r="F11" s="7">
        <v>2.6720000000000002</v>
      </c>
      <c r="G11" s="8">
        <v>21.1</v>
      </c>
      <c r="H11" s="8">
        <v>29.76</v>
      </c>
      <c r="I11" s="8">
        <v>27.66</v>
      </c>
      <c r="J11" s="6">
        <v>2966</v>
      </c>
      <c r="K11" s="6">
        <v>2164</v>
      </c>
      <c r="L11" s="6">
        <v>2022</v>
      </c>
      <c r="M11" s="9">
        <f t="shared" si="0"/>
        <v>2.6800000000000001E-3</v>
      </c>
      <c r="N11" s="17">
        <f t="shared" si="1"/>
        <v>29.76</v>
      </c>
      <c r="O11" s="9">
        <f t="shared" si="2"/>
        <v>2.6800000000000001E-3</v>
      </c>
      <c r="P11" s="5">
        <f t="shared" si="3"/>
        <v>1</v>
      </c>
      <c r="Q11" s="5">
        <f t="shared" si="4"/>
        <v>0</v>
      </c>
      <c r="R11" s="4" t="s">
        <v>40</v>
      </c>
    </row>
    <row r="12" spans="1:18" ht="14.4" customHeight="1">
      <c r="A12" s="3" t="s">
        <v>41</v>
      </c>
      <c r="B12" s="4" t="s">
        <v>33</v>
      </c>
      <c r="C12" s="4" t="s">
        <v>20</v>
      </c>
      <c r="D12" s="5">
        <v>2024</v>
      </c>
      <c r="E12" s="6">
        <v>299108</v>
      </c>
      <c r="F12" s="7">
        <v>2.8650000000000002</v>
      </c>
      <c r="G12" s="8">
        <v>19.52</v>
      </c>
      <c r="H12" s="8">
        <v>32.1</v>
      </c>
      <c r="I12" s="8">
        <v>27.64</v>
      </c>
      <c r="J12" s="6">
        <v>3258</v>
      </c>
      <c r="K12" s="6">
        <v>2364</v>
      </c>
      <c r="L12" s="6">
        <v>2125</v>
      </c>
      <c r="M12" s="9">
        <f t="shared" si="0"/>
        <v>2.9889999999999999E-3</v>
      </c>
      <c r="N12" s="17">
        <f t="shared" si="1"/>
        <v>32.1</v>
      </c>
      <c r="O12" s="9">
        <f t="shared" si="2"/>
        <v>2.9889999999999999E-3</v>
      </c>
      <c r="P12" s="5">
        <f t="shared" si="3"/>
        <v>1</v>
      </c>
      <c r="Q12" s="5">
        <f t="shared" si="4"/>
        <v>0</v>
      </c>
      <c r="R12" s="4" t="s">
        <v>42</v>
      </c>
    </row>
    <row r="13" spans="1:18" ht="14.4" customHeight="1">
      <c r="A13" s="3" t="s">
        <v>43</v>
      </c>
      <c r="B13" s="4" t="s">
        <v>33</v>
      </c>
      <c r="C13" s="4" t="s">
        <v>20</v>
      </c>
      <c r="D13" s="5">
        <v>2025</v>
      </c>
      <c r="E13" s="6">
        <v>319636</v>
      </c>
      <c r="F13" s="7">
        <v>2.9980000000000002</v>
      </c>
      <c r="G13" s="8">
        <v>18.989999999999998</v>
      </c>
      <c r="H13" s="8">
        <v>33.47</v>
      </c>
      <c r="I13" s="8">
        <v>26.76</v>
      </c>
      <c r="J13" s="6">
        <v>3357</v>
      </c>
      <c r="K13" s="6">
        <v>2346</v>
      </c>
      <c r="L13" s="6">
        <v>2168</v>
      </c>
      <c r="M13" s="9">
        <f t="shared" si="0"/>
        <v>3.163E-3</v>
      </c>
      <c r="N13" s="17">
        <f t="shared" si="1"/>
        <v>33.47</v>
      </c>
      <c r="O13" s="9">
        <f t="shared" si="2"/>
        <v>3.163E-3</v>
      </c>
      <c r="P13" s="5">
        <f t="shared" si="3"/>
        <v>1</v>
      </c>
      <c r="Q13" s="5">
        <f t="shared" si="4"/>
        <v>0</v>
      </c>
      <c r="R13" s="4" t="s">
        <v>44</v>
      </c>
    </row>
    <row r="14" spans="1:18" ht="14.4" customHeight="1">
      <c r="A14" s="3" t="s">
        <v>45</v>
      </c>
      <c r="B14" s="4" t="s">
        <v>46</v>
      </c>
      <c r="C14" s="4" t="s">
        <v>20</v>
      </c>
      <c r="D14" s="5">
        <v>2020</v>
      </c>
      <c r="E14" s="6">
        <v>267844</v>
      </c>
      <c r="F14" s="7">
        <v>3.1389999999999998</v>
      </c>
      <c r="G14" s="8">
        <v>19.59</v>
      </c>
      <c r="H14" s="8">
        <v>30.27</v>
      </c>
      <c r="I14" s="8">
        <v>26.75</v>
      </c>
      <c r="J14" s="6">
        <v>2441</v>
      </c>
      <c r="K14" s="6">
        <v>2437</v>
      </c>
      <c r="L14" s="6">
        <v>2143</v>
      </c>
      <c r="M14" s="9">
        <f t="shared" si="0"/>
        <v>1.5E-5</v>
      </c>
      <c r="N14" s="17">
        <f t="shared" si="1"/>
        <v>30.27</v>
      </c>
      <c r="O14" s="9">
        <f t="shared" si="2"/>
        <v>1.5E-5</v>
      </c>
      <c r="P14" s="5">
        <f t="shared" si="3"/>
        <v>1</v>
      </c>
      <c r="Q14" s="5">
        <f t="shared" si="4"/>
        <v>0</v>
      </c>
      <c r="R14" s="4" t="s">
        <v>47</v>
      </c>
    </row>
    <row r="15" spans="1:18" ht="14.4" customHeight="1">
      <c r="A15" s="3" t="s">
        <v>48</v>
      </c>
      <c r="B15" s="4" t="s">
        <v>46</v>
      </c>
      <c r="C15" s="4" t="s">
        <v>20</v>
      </c>
      <c r="D15" s="5">
        <v>2021</v>
      </c>
      <c r="E15" s="6">
        <v>286392</v>
      </c>
      <c r="F15" s="7">
        <v>2.8730000000000002</v>
      </c>
      <c r="G15" s="8">
        <v>19.87</v>
      </c>
      <c r="H15" s="8">
        <v>30.58</v>
      </c>
      <c r="I15" s="8">
        <v>27.28</v>
      </c>
      <c r="J15" s="6">
        <v>2651</v>
      </c>
      <c r="K15" s="6">
        <v>2503</v>
      </c>
      <c r="L15" s="6">
        <v>1890</v>
      </c>
      <c r="M15" s="9">
        <f t="shared" si="0"/>
        <v>5.1699999999999999E-4</v>
      </c>
      <c r="N15" s="17">
        <f t="shared" si="1"/>
        <v>30.58</v>
      </c>
      <c r="O15" s="9">
        <f t="shared" si="2"/>
        <v>5.1699999999999999E-4</v>
      </c>
      <c r="P15" s="5">
        <f t="shared" si="3"/>
        <v>1</v>
      </c>
      <c r="Q15" s="5">
        <f t="shared" si="4"/>
        <v>0</v>
      </c>
      <c r="R15" s="4" t="s">
        <v>49</v>
      </c>
    </row>
    <row r="16" spans="1:18" ht="14.4" customHeight="1">
      <c r="A16" s="3" t="s">
        <v>50</v>
      </c>
      <c r="B16" s="4" t="s">
        <v>46</v>
      </c>
      <c r="C16" s="4" t="s">
        <v>20</v>
      </c>
      <c r="D16" s="5">
        <v>2022</v>
      </c>
      <c r="E16" s="6">
        <v>273531</v>
      </c>
      <c r="F16" s="7">
        <v>3.0819999999999999</v>
      </c>
      <c r="G16" s="8">
        <v>20.04</v>
      </c>
      <c r="H16" s="8">
        <v>33.08</v>
      </c>
      <c r="I16" s="8">
        <v>26.9</v>
      </c>
      <c r="J16" s="6">
        <v>2700</v>
      </c>
      <c r="K16" s="6">
        <v>2092</v>
      </c>
      <c r="L16" s="6">
        <v>1961</v>
      </c>
      <c r="M16" s="9">
        <f t="shared" si="0"/>
        <v>2.2230000000000001E-3</v>
      </c>
      <c r="N16" s="17">
        <f t="shared" si="1"/>
        <v>33.08</v>
      </c>
      <c r="O16" s="9">
        <f t="shared" si="2"/>
        <v>2.2230000000000001E-3</v>
      </c>
      <c r="P16" s="5">
        <f t="shared" si="3"/>
        <v>1</v>
      </c>
      <c r="Q16" s="5">
        <f t="shared" si="4"/>
        <v>0</v>
      </c>
      <c r="R16" s="4" t="s">
        <v>51</v>
      </c>
    </row>
    <row r="17" spans="1:18" ht="14.4" customHeight="1">
      <c r="A17" s="3" t="s">
        <v>52</v>
      </c>
      <c r="B17" s="4" t="s">
        <v>46</v>
      </c>
      <c r="C17" s="4" t="s">
        <v>20</v>
      </c>
      <c r="D17" s="5">
        <v>2023</v>
      </c>
      <c r="E17" s="6">
        <v>272855</v>
      </c>
      <c r="F17" s="7">
        <v>3.1219999999999999</v>
      </c>
      <c r="G17" s="8">
        <v>20.079999999999998</v>
      </c>
      <c r="H17" s="8">
        <v>32.090000000000003</v>
      </c>
      <c r="I17" s="8">
        <v>26.42</v>
      </c>
      <c r="J17" s="6">
        <v>2565</v>
      </c>
      <c r="K17" s="6">
        <v>2036</v>
      </c>
      <c r="L17" s="6">
        <v>1638</v>
      </c>
      <c r="M17" s="9">
        <f t="shared" si="0"/>
        <v>1.939E-3</v>
      </c>
      <c r="N17" s="17">
        <f t="shared" si="1"/>
        <v>32.090000000000003</v>
      </c>
      <c r="O17" s="9">
        <f t="shared" si="2"/>
        <v>1.939E-3</v>
      </c>
      <c r="P17" s="5">
        <f t="shared" si="3"/>
        <v>1</v>
      </c>
      <c r="Q17" s="5">
        <f t="shared" si="4"/>
        <v>0</v>
      </c>
      <c r="R17" s="4" t="s">
        <v>53</v>
      </c>
    </row>
    <row r="18" spans="1:18" ht="14.4" customHeight="1">
      <c r="A18" s="3" t="s">
        <v>54</v>
      </c>
      <c r="B18" s="4" t="s">
        <v>46</v>
      </c>
      <c r="C18" s="4" t="s">
        <v>20</v>
      </c>
      <c r="D18" s="5">
        <v>2024</v>
      </c>
      <c r="E18" s="6">
        <v>266200</v>
      </c>
      <c r="F18" s="7">
        <v>3.2810000000000001</v>
      </c>
      <c r="G18" s="8">
        <v>19.739999999999998</v>
      </c>
      <c r="H18" s="8">
        <v>31.69</v>
      </c>
      <c r="I18" s="8">
        <v>27.3</v>
      </c>
      <c r="J18" s="6">
        <v>2648</v>
      </c>
      <c r="K18" s="6">
        <v>2069</v>
      </c>
      <c r="L18" s="6">
        <v>1765</v>
      </c>
      <c r="M18" s="9">
        <f t="shared" si="0"/>
        <v>2.1749999999999999E-3</v>
      </c>
      <c r="N18" s="17">
        <f t="shared" si="1"/>
        <v>31.69</v>
      </c>
      <c r="O18" s="9">
        <f t="shared" si="2"/>
        <v>2.1749999999999999E-3</v>
      </c>
      <c r="P18" s="5">
        <f t="shared" si="3"/>
        <v>1</v>
      </c>
      <c r="Q18" s="5">
        <f t="shared" si="4"/>
        <v>0</v>
      </c>
      <c r="R18" s="4" t="s">
        <v>55</v>
      </c>
    </row>
    <row r="19" spans="1:18" ht="14.4" customHeight="1">
      <c r="A19" s="3" t="s">
        <v>56</v>
      </c>
      <c r="B19" s="4" t="s">
        <v>46</v>
      </c>
      <c r="C19" s="4" t="s">
        <v>20</v>
      </c>
      <c r="D19" s="5">
        <v>2025</v>
      </c>
      <c r="E19" s="6">
        <v>285430</v>
      </c>
      <c r="F19" s="7">
        <v>3.24</v>
      </c>
      <c r="G19" s="8">
        <v>20.21</v>
      </c>
      <c r="H19" s="8">
        <v>32.700000000000003</v>
      </c>
      <c r="I19" s="8">
        <v>26.16</v>
      </c>
      <c r="J19" s="6">
        <v>2902</v>
      </c>
      <c r="K19" s="6">
        <v>2235</v>
      </c>
      <c r="L19" s="6">
        <v>1767</v>
      </c>
      <c r="M19" s="9">
        <f t="shared" si="0"/>
        <v>2.3370000000000001E-3</v>
      </c>
      <c r="N19" s="17">
        <f t="shared" si="1"/>
        <v>32.700000000000003</v>
      </c>
      <c r="O19" s="9">
        <f t="shared" si="2"/>
        <v>2.3370000000000001E-3</v>
      </c>
      <c r="P19" s="5">
        <f t="shared" si="3"/>
        <v>1</v>
      </c>
      <c r="Q19" s="5">
        <f t="shared" si="4"/>
        <v>0</v>
      </c>
      <c r="R19" s="4" t="s">
        <v>57</v>
      </c>
    </row>
    <row r="20" spans="1:18" ht="14.4" customHeight="1">
      <c r="A20" s="3" t="s">
        <v>58</v>
      </c>
      <c r="B20" s="4" t="s">
        <v>59</v>
      </c>
      <c r="C20" s="4" t="s">
        <v>20</v>
      </c>
      <c r="D20" s="5">
        <v>2020</v>
      </c>
      <c r="E20" s="6">
        <v>396295</v>
      </c>
      <c r="F20" s="7">
        <v>2.8359999999999999</v>
      </c>
      <c r="G20" s="8">
        <v>20.09</v>
      </c>
      <c r="H20" s="8">
        <v>30.53</v>
      </c>
      <c r="I20" s="8">
        <v>27.04</v>
      </c>
      <c r="J20" s="6">
        <v>3619</v>
      </c>
      <c r="K20" s="6">
        <v>3345</v>
      </c>
      <c r="L20" s="6">
        <v>3097</v>
      </c>
      <c r="M20" s="9">
        <f t="shared" si="0"/>
        <v>6.9099999999999999E-4</v>
      </c>
      <c r="N20" s="17">
        <f t="shared" si="1"/>
        <v>30.53</v>
      </c>
      <c r="O20" s="9">
        <f t="shared" si="2"/>
        <v>6.9099999999999999E-4</v>
      </c>
      <c r="P20" s="5">
        <f t="shared" si="3"/>
        <v>1</v>
      </c>
      <c r="Q20" s="5">
        <f t="shared" si="4"/>
        <v>0</v>
      </c>
      <c r="R20" s="4" t="s">
        <v>60</v>
      </c>
    </row>
    <row r="21" spans="1:18" ht="14.4" customHeight="1">
      <c r="A21" s="3" t="s">
        <v>61</v>
      </c>
      <c r="B21" s="4" t="s">
        <v>59</v>
      </c>
      <c r="C21" s="4" t="s">
        <v>20</v>
      </c>
      <c r="D21" s="5">
        <v>2021</v>
      </c>
      <c r="E21" s="6">
        <v>360100</v>
      </c>
      <c r="F21" s="7">
        <v>2.8340000000000001</v>
      </c>
      <c r="G21" s="8">
        <v>19.309999999999999</v>
      </c>
      <c r="H21" s="8">
        <v>33.64</v>
      </c>
      <c r="I21" s="8">
        <v>25.31</v>
      </c>
      <c r="J21" s="6">
        <v>3585</v>
      </c>
      <c r="K21" s="6">
        <v>3077</v>
      </c>
      <c r="L21" s="6">
        <v>2565</v>
      </c>
      <c r="M21" s="9">
        <f t="shared" si="0"/>
        <v>1.4109999999999999E-3</v>
      </c>
      <c r="N21" s="17">
        <f t="shared" si="1"/>
        <v>33.64</v>
      </c>
      <c r="O21" s="9">
        <f t="shared" si="2"/>
        <v>1.4109999999999999E-3</v>
      </c>
      <c r="P21" s="5">
        <f t="shared" si="3"/>
        <v>1</v>
      </c>
      <c r="Q21" s="5">
        <f t="shared" si="4"/>
        <v>0</v>
      </c>
      <c r="R21" s="4" t="s">
        <v>62</v>
      </c>
    </row>
    <row r="22" spans="1:18" ht="14.4" customHeight="1">
      <c r="A22" s="3" t="s">
        <v>63</v>
      </c>
      <c r="B22" s="4" t="s">
        <v>59</v>
      </c>
      <c r="C22" s="4" t="s">
        <v>20</v>
      </c>
      <c r="D22" s="5">
        <v>2022</v>
      </c>
      <c r="E22" s="6">
        <v>368894</v>
      </c>
      <c r="F22" s="7">
        <v>2.9430000000000001</v>
      </c>
      <c r="G22" s="8">
        <v>20.55</v>
      </c>
      <c r="H22" s="8">
        <v>32.25</v>
      </c>
      <c r="I22" s="8">
        <v>27.24</v>
      </c>
      <c r="J22" s="6">
        <v>3699</v>
      </c>
      <c r="K22" s="6">
        <v>2994</v>
      </c>
      <c r="L22" s="6">
        <v>2643</v>
      </c>
      <c r="M22" s="9">
        <f t="shared" si="0"/>
        <v>1.9109999999999999E-3</v>
      </c>
      <c r="N22" s="17">
        <f t="shared" si="1"/>
        <v>32.25</v>
      </c>
      <c r="O22" s="9">
        <f t="shared" si="2"/>
        <v>1.9109999999999999E-3</v>
      </c>
      <c r="P22" s="5">
        <f t="shared" si="3"/>
        <v>1</v>
      </c>
      <c r="Q22" s="5">
        <f t="shared" si="4"/>
        <v>0</v>
      </c>
      <c r="R22" s="4" t="s">
        <v>64</v>
      </c>
    </row>
    <row r="23" spans="1:18" ht="14.4" customHeight="1">
      <c r="A23" s="3" t="s">
        <v>65</v>
      </c>
      <c r="B23" s="4" t="s">
        <v>59</v>
      </c>
      <c r="C23" s="4" t="s">
        <v>20</v>
      </c>
      <c r="D23" s="5">
        <v>2023</v>
      </c>
      <c r="E23" s="6">
        <v>362949</v>
      </c>
      <c r="F23" s="7">
        <v>2.8820000000000001</v>
      </c>
      <c r="G23" s="8">
        <v>19.510000000000002</v>
      </c>
      <c r="H23" s="8">
        <v>32.93</v>
      </c>
      <c r="I23" s="8">
        <v>26.24</v>
      </c>
      <c r="J23" s="6">
        <v>3937</v>
      </c>
      <c r="K23" s="6">
        <v>2637</v>
      </c>
      <c r="L23" s="6">
        <v>2528</v>
      </c>
      <c r="M23" s="9">
        <f t="shared" si="0"/>
        <v>3.5820000000000001E-3</v>
      </c>
      <c r="N23" s="17">
        <f t="shared" si="1"/>
        <v>32.93</v>
      </c>
      <c r="O23" s="9">
        <f t="shared" si="2"/>
        <v>3.5820000000000001E-3</v>
      </c>
      <c r="P23" s="5">
        <f t="shared" si="3"/>
        <v>1</v>
      </c>
      <c r="Q23" s="5">
        <f t="shared" si="4"/>
        <v>0</v>
      </c>
      <c r="R23" s="4" t="s">
        <v>66</v>
      </c>
    </row>
    <row r="24" spans="1:18" ht="14.4" customHeight="1">
      <c r="A24" s="3" t="s">
        <v>67</v>
      </c>
      <c r="B24" s="4" t="s">
        <v>59</v>
      </c>
      <c r="C24" s="4" t="s">
        <v>20</v>
      </c>
      <c r="D24" s="5">
        <v>2024</v>
      </c>
      <c r="E24" s="6">
        <v>392813</v>
      </c>
      <c r="F24" s="7">
        <v>2.9420000000000002</v>
      </c>
      <c r="G24" s="8">
        <v>19.79</v>
      </c>
      <c r="H24" s="8">
        <v>33.78</v>
      </c>
      <c r="I24" s="8">
        <v>27.98</v>
      </c>
      <c r="J24" s="6">
        <v>4346</v>
      </c>
      <c r="K24" s="6">
        <v>2783</v>
      </c>
      <c r="L24" s="6">
        <v>2530</v>
      </c>
      <c r="M24" s="9">
        <f t="shared" si="0"/>
        <v>3.9789999999999999E-3</v>
      </c>
      <c r="N24" s="17">
        <f t="shared" si="1"/>
        <v>33.78</v>
      </c>
      <c r="O24" s="9">
        <f t="shared" si="2"/>
        <v>3.9789999999999999E-3</v>
      </c>
      <c r="P24" s="5">
        <f t="shared" si="3"/>
        <v>1</v>
      </c>
      <c r="Q24" s="5">
        <f t="shared" si="4"/>
        <v>0</v>
      </c>
      <c r="R24" s="4" t="s">
        <v>68</v>
      </c>
    </row>
    <row r="25" spans="1:18" ht="14.4" customHeight="1">
      <c r="A25" s="3" t="s">
        <v>69</v>
      </c>
      <c r="B25" s="4" t="s">
        <v>59</v>
      </c>
      <c r="C25" s="4" t="s">
        <v>20</v>
      </c>
      <c r="D25" s="5">
        <v>2025</v>
      </c>
      <c r="E25" s="6">
        <v>363142</v>
      </c>
      <c r="F25" s="7">
        <v>2.9729999999999999</v>
      </c>
      <c r="G25" s="8">
        <v>18.600000000000001</v>
      </c>
      <c r="H25" s="8">
        <v>33.11</v>
      </c>
      <c r="I25" s="8">
        <v>26.61</v>
      </c>
      <c r="J25" s="6">
        <v>3823</v>
      </c>
      <c r="K25" s="6">
        <v>2590</v>
      </c>
      <c r="L25" s="6">
        <v>2403</v>
      </c>
      <c r="M25" s="9">
        <f t="shared" si="0"/>
        <v>3.395E-3</v>
      </c>
      <c r="N25" s="17">
        <f t="shared" si="1"/>
        <v>33.11</v>
      </c>
      <c r="O25" s="9">
        <f t="shared" si="2"/>
        <v>3.395E-3</v>
      </c>
      <c r="P25" s="5">
        <f t="shared" si="3"/>
        <v>1</v>
      </c>
      <c r="Q25" s="5">
        <f t="shared" si="4"/>
        <v>0</v>
      </c>
      <c r="R25" s="4" t="s">
        <v>70</v>
      </c>
    </row>
    <row r="26" spans="1:18" ht="14.4" customHeight="1">
      <c r="A26" s="3" t="s">
        <v>71</v>
      </c>
      <c r="B26" s="4" t="s">
        <v>72</v>
      </c>
      <c r="C26" s="4" t="s">
        <v>73</v>
      </c>
      <c r="D26" s="5">
        <v>2020</v>
      </c>
      <c r="E26" s="6">
        <v>220806</v>
      </c>
      <c r="F26" s="7">
        <v>2.2810000000000001</v>
      </c>
      <c r="G26" s="8">
        <v>19.63</v>
      </c>
      <c r="H26" s="8">
        <v>30.73</v>
      </c>
      <c r="I26" s="8">
        <v>29</v>
      </c>
      <c r="J26" s="6">
        <v>1824</v>
      </c>
      <c r="K26" s="6">
        <v>2017</v>
      </c>
      <c r="L26" s="6">
        <v>1792</v>
      </c>
      <c r="M26" s="9">
        <f t="shared" si="0"/>
        <v>-8.7399999999999999E-4</v>
      </c>
      <c r="N26" s="17">
        <f t="shared" si="1"/>
        <v>30.73</v>
      </c>
      <c r="O26" s="9">
        <f t="shared" si="2"/>
        <v>-8.7399999999999999E-4</v>
      </c>
      <c r="P26" s="5">
        <f t="shared" si="3"/>
        <v>0</v>
      </c>
      <c r="Q26" s="5">
        <f t="shared" si="4"/>
        <v>1</v>
      </c>
      <c r="R26" s="4" t="s">
        <v>74</v>
      </c>
    </row>
    <row r="27" spans="1:18" ht="14.4" customHeight="1">
      <c r="A27" s="3" t="s">
        <v>75</v>
      </c>
      <c r="B27" s="4" t="s">
        <v>72</v>
      </c>
      <c r="C27" s="4" t="s">
        <v>73</v>
      </c>
      <c r="D27" s="5">
        <v>2021</v>
      </c>
      <c r="E27" s="6">
        <v>215511</v>
      </c>
      <c r="F27" s="7">
        <v>2.2799999999999998</v>
      </c>
      <c r="G27" s="8">
        <v>19.88</v>
      </c>
      <c r="H27" s="8">
        <v>31.29</v>
      </c>
      <c r="I27" s="8">
        <v>27.19</v>
      </c>
      <c r="J27" s="6">
        <v>1823</v>
      </c>
      <c r="K27" s="6">
        <v>1888</v>
      </c>
      <c r="L27" s="6">
        <v>1656</v>
      </c>
      <c r="M27" s="9">
        <f t="shared" si="0"/>
        <v>-3.0200000000000002E-4</v>
      </c>
      <c r="N27" s="17">
        <f t="shared" si="1"/>
        <v>31.29</v>
      </c>
      <c r="O27" s="9">
        <f t="shared" si="2"/>
        <v>-3.0200000000000002E-4</v>
      </c>
      <c r="P27" s="5">
        <f t="shared" si="3"/>
        <v>0</v>
      </c>
      <c r="Q27" s="5">
        <f t="shared" si="4"/>
        <v>1</v>
      </c>
      <c r="R27" s="4" t="s">
        <v>76</v>
      </c>
    </row>
    <row r="28" spans="1:18" ht="14.4" customHeight="1">
      <c r="A28" s="3" t="s">
        <v>77</v>
      </c>
      <c r="B28" s="4" t="s">
        <v>72</v>
      </c>
      <c r="C28" s="4" t="s">
        <v>73</v>
      </c>
      <c r="D28" s="5">
        <v>2022</v>
      </c>
      <c r="E28" s="6">
        <v>210272</v>
      </c>
      <c r="F28" s="7">
        <v>2.278</v>
      </c>
      <c r="G28" s="8">
        <v>19.43</v>
      </c>
      <c r="H28" s="8">
        <v>30.66</v>
      </c>
      <c r="I28" s="8">
        <v>27.05</v>
      </c>
      <c r="J28" s="6">
        <v>1883</v>
      </c>
      <c r="K28" s="6">
        <v>1925</v>
      </c>
      <c r="L28" s="6">
        <v>1924</v>
      </c>
      <c r="M28" s="9">
        <f t="shared" si="0"/>
        <v>-2.0000000000000001E-4</v>
      </c>
      <c r="N28" s="17">
        <f t="shared" si="1"/>
        <v>30.66</v>
      </c>
      <c r="O28" s="9">
        <f t="shared" si="2"/>
        <v>-2.0000000000000001E-4</v>
      </c>
      <c r="P28" s="5">
        <f t="shared" si="3"/>
        <v>0</v>
      </c>
      <c r="Q28" s="5">
        <f t="shared" si="4"/>
        <v>1</v>
      </c>
      <c r="R28" s="4" t="s">
        <v>78</v>
      </c>
    </row>
    <row r="29" spans="1:18" ht="14.4" customHeight="1">
      <c r="A29" s="3" t="s">
        <v>79</v>
      </c>
      <c r="B29" s="4" t="s">
        <v>72</v>
      </c>
      <c r="C29" s="4" t="s">
        <v>73</v>
      </c>
      <c r="D29" s="5">
        <v>2023</v>
      </c>
      <c r="E29" s="6">
        <v>216572</v>
      </c>
      <c r="F29" s="7">
        <v>2.4020000000000001</v>
      </c>
      <c r="G29" s="8">
        <v>19.86</v>
      </c>
      <c r="H29" s="8">
        <v>32.840000000000003</v>
      </c>
      <c r="I29" s="8">
        <v>27.43</v>
      </c>
      <c r="J29" s="6">
        <v>1839</v>
      </c>
      <c r="K29" s="6">
        <v>1955</v>
      </c>
      <c r="L29" s="6">
        <v>1647</v>
      </c>
      <c r="M29" s="9">
        <f t="shared" si="0"/>
        <v>-5.3600000000000002E-4</v>
      </c>
      <c r="N29" s="17">
        <f t="shared" si="1"/>
        <v>32.840000000000003</v>
      </c>
      <c r="O29" s="9">
        <f t="shared" si="2"/>
        <v>-5.3600000000000002E-4</v>
      </c>
      <c r="P29" s="5">
        <f t="shared" si="3"/>
        <v>0</v>
      </c>
      <c r="Q29" s="5">
        <f t="shared" si="4"/>
        <v>1</v>
      </c>
      <c r="R29" s="4" t="s">
        <v>80</v>
      </c>
    </row>
    <row r="30" spans="1:18" ht="14.4" customHeight="1">
      <c r="A30" s="3" t="s">
        <v>81</v>
      </c>
      <c r="B30" s="4" t="s">
        <v>72</v>
      </c>
      <c r="C30" s="4" t="s">
        <v>73</v>
      </c>
      <c r="D30" s="5">
        <v>2024</v>
      </c>
      <c r="E30" s="6">
        <v>225374</v>
      </c>
      <c r="F30" s="7">
        <v>2.4239999999999999</v>
      </c>
      <c r="G30" s="8">
        <v>19.72</v>
      </c>
      <c r="H30" s="8">
        <v>34.200000000000003</v>
      </c>
      <c r="I30" s="8">
        <v>25.8</v>
      </c>
      <c r="J30" s="6">
        <v>2187</v>
      </c>
      <c r="K30" s="6">
        <v>1893</v>
      </c>
      <c r="L30" s="6">
        <v>1464</v>
      </c>
      <c r="M30" s="9">
        <f t="shared" si="0"/>
        <v>1.304E-3</v>
      </c>
      <c r="N30" s="17">
        <f t="shared" si="1"/>
        <v>34.200000000000003</v>
      </c>
      <c r="O30" s="9">
        <f t="shared" si="2"/>
        <v>1.304E-3</v>
      </c>
      <c r="P30" s="5">
        <f t="shared" si="3"/>
        <v>0</v>
      </c>
      <c r="Q30" s="5">
        <f t="shared" si="4"/>
        <v>1</v>
      </c>
      <c r="R30" s="4" t="s">
        <v>82</v>
      </c>
    </row>
    <row r="31" spans="1:18" ht="14.4" customHeight="1">
      <c r="A31" s="3" t="s">
        <v>83</v>
      </c>
      <c r="B31" s="4" t="s">
        <v>72</v>
      </c>
      <c r="C31" s="4" t="s">
        <v>73</v>
      </c>
      <c r="D31" s="5">
        <v>2025</v>
      </c>
      <c r="E31" s="6">
        <v>211274</v>
      </c>
      <c r="F31" s="7">
        <v>2.6480000000000001</v>
      </c>
      <c r="G31" s="8">
        <v>19.39</v>
      </c>
      <c r="H31" s="8">
        <v>34.96</v>
      </c>
      <c r="I31" s="8">
        <v>26.8</v>
      </c>
      <c r="J31" s="6">
        <v>1978</v>
      </c>
      <c r="K31" s="6">
        <v>1747</v>
      </c>
      <c r="L31" s="6">
        <v>1366</v>
      </c>
      <c r="M31" s="9">
        <f t="shared" si="0"/>
        <v>1.093E-3</v>
      </c>
      <c r="N31" s="17">
        <f t="shared" si="1"/>
        <v>34.96</v>
      </c>
      <c r="O31" s="9">
        <f t="shared" si="2"/>
        <v>1.093E-3</v>
      </c>
      <c r="P31" s="5">
        <f t="shared" si="3"/>
        <v>0</v>
      </c>
      <c r="Q31" s="5">
        <f t="shared" si="4"/>
        <v>1</v>
      </c>
      <c r="R31" s="4" t="s">
        <v>84</v>
      </c>
    </row>
    <row r="32" spans="1:18" ht="14.4" customHeight="1">
      <c r="A32" s="3" t="s">
        <v>85</v>
      </c>
      <c r="B32" s="4" t="s">
        <v>86</v>
      </c>
      <c r="C32" s="4" t="s">
        <v>73</v>
      </c>
      <c r="D32" s="5">
        <v>2020</v>
      </c>
      <c r="E32" s="6">
        <v>241416</v>
      </c>
      <c r="F32" s="7">
        <v>2.1909999999999998</v>
      </c>
      <c r="G32" s="8">
        <v>19.309999999999999</v>
      </c>
      <c r="H32" s="8">
        <v>30.08</v>
      </c>
      <c r="I32" s="8">
        <v>27.97</v>
      </c>
      <c r="J32" s="6">
        <v>2090</v>
      </c>
      <c r="K32" s="6">
        <v>2355</v>
      </c>
      <c r="L32" s="6">
        <v>2171</v>
      </c>
      <c r="M32" s="9">
        <f t="shared" si="0"/>
        <v>-1.098E-3</v>
      </c>
      <c r="N32" s="17">
        <f t="shared" si="1"/>
        <v>30.08</v>
      </c>
      <c r="O32" s="9">
        <f t="shared" si="2"/>
        <v>-1.098E-3</v>
      </c>
      <c r="P32" s="5">
        <f t="shared" si="3"/>
        <v>0</v>
      </c>
      <c r="Q32" s="5">
        <f t="shared" si="4"/>
        <v>1</v>
      </c>
      <c r="R32" s="4" t="s">
        <v>87</v>
      </c>
    </row>
    <row r="33" spans="1:18" ht="14.4" customHeight="1">
      <c r="A33" s="3" t="s">
        <v>88</v>
      </c>
      <c r="B33" s="4" t="s">
        <v>86</v>
      </c>
      <c r="C33" s="4" t="s">
        <v>73</v>
      </c>
      <c r="D33" s="5">
        <v>2021</v>
      </c>
      <c r="E33" s="6">
        <v>263601</v>
      </c>
      <c r="F33" s="7">
        <v>2.4809999999999999</v>
      </c>
      <c r="G33" s="8">
        <v>19.760000000000002</v>
      </c>
      <c r="H33" s="8">
        <v>32.380000000000003</v>
      </c>
      <c r="I33" s="8">
        <v>27.19</v>
      </c>
      <c r="J33" s="6">
        <v>2063</v>
      </c>
      <c r="K33" s="6">
        <v>2378</v>
      </c>
      <c r="L33" s="6">
        <v>1859</v>
      </c>
      <c r="M33" s="9">
        <f t="shared" si="0"/>
        <v>-1.1950000000000001E-3</v>
      </c>
      <c r="N33" s="17">
        <f t="shared" si="1"/>
        <v>32.380000000000003</v>
      </c>
      <c r="O33" s="9">
        <f t="shared" si="2"/>
        <v>-1.1950000000000001E-3</v>
      </c>
      <c r="P33" s="5">
        <f t="shared" si="3"/>
        <v>0</v>
      </c>
      <c r="Q33" s="5">
        <f t="shared" si="4"/>
        <v>1</v>
      </c>
      <c r="R33" s="4" t="s">
        <v>89</v>
      </c>
    </row>
    <row r="34" spans="1:18" ht="14.4" customHeight="1">
      <c r="A34" s="3" t="s">
        <v>90</v>
      </c>
      <c r="B34" s="4" t="s">
        <v>86</v>
      </c>
      <c r="C34" s="4" t="s">
        <v>73</v>
      </c>
      <c r="D34" s="5">
        <v>2022</v>
      </c>
      <c r="E34" s="6">
        <v>236409</v>
      </c>
      <c r="F34" s="7">
        <v>2.532</v>
      </c>
      <c r="G34" s="8">
        <v>19.489999999999998</v>
      </c>
      <c r="H34" s="8">
        <v>31.85</v>
      </c>
      <c r="I34" s="8">
        <v>26.51</v>
      </c>
      <c r="J34" s="6">
        <v>2033</v>
      </c>
      <c r="K34" s="6">
        <v>2334</v>
      </c>
      <c r="L34" s="6">
        <v>2042</v>
      </c>
      <c r="M34" s="9">
        <f t="shared" ref="M34:M65" si="5">ROUND((J34-K34)/E34,6)</f>
        <v>-1.273E-3</v>
      </c>
      <c r="N34" s="17">
        <f t="shared" ref="N34:N65" si="6">H34</f>
        <v>31.85</v>
      </c>
      <c r="O34" s="9">
        <f t="shared" ref="O34:O65" si="7">M34</f>
        <v>-1.273E-3</v>
      </c>
      <c r="P34" s="5">
        <f t="shared" ref="P34:P65" si="8">IF(C34="Banking",1,0)</f>
        <v>0</v>
      </c>
      <c r="Q34" s="5">
        <f t="shared" ref="Q34:Q65" si="9">IF(C34="Energy",1,0)</f>
        <v>1</v>
      </c>
      <c r="R34" s="4" t="s">
        <v>91</v>
      </c>
    </row>
    <row r="35" spans="1:18" ht="14.4" customHeight="1">
      <c r="A35" s="3" t="s">
        <v>92</v>
      </c>
      <c r="B35" s="4" t="s">
        <v>86</v>
      </c>
      <c r="C35" s="4" t="s">
        <v>73</v>
      </c>
      <c r="D35" s="5">
        <v>2023</v>
      </c>
      <c r="E35" s="6">
        <v>255837</v>
      </c>
      <c r="F35" s="7">
        <v>2.605</v>
      </c>
      <c r="G35" s="8">
        <v>19.190000000000001</v>
      </c>
      <c r="H35" s="8">
        <v>35.4</v>
      </c>
      <c r="I35" s="8">
        <v>26.12</v>
      </c>
      <c r="J35" s="6">
        <v>2372</v>
      </c>
      <c r="K35" s="6">
        <v>2237</v>
      </c>
      <c r="L35" s="6">
        <v>1828</v>
      </c>
      <c r="M35" s="9">
        <f t="shared" si="5"/>
        <v>5.2800000000000004E-4</v>
      </c>
      <c r="N35" s="17">
        <f t="shared" si="6"/>
        <v>35.4</v>
      </c>
      <c r="O35" s="9">
        <f t="shared" si="7"/>
        <v>5.2800000000000004E-4</v>
      </c>
      <c r="P35" s="5">
        <f t="shared" si="8"/>
        <v>0</v>
      </c>
      <c r="Q35" s="5">
        <f t="shared" si="9"/>
        <v>1</v>
      </c>
      <c r="R35" s="4" t="s">
        <v>93</v>
      </c>
    </row>
    <row r="36" spans="1:18" ht="14.4" customHeight="1">
      <c r="A36" s="3" t="s">
        <v>94</v>
      </c>
      <c r="B36" s="4" t="s">
        <v>86</v>
      </c>
      <c r="C36" s="4" t="s">
        <v>73</v>
      </c>
      <c r="D36" s="5">
        <v>2024</v>
      </c>
      <c r="E36" s="6">
        <v>248561</v>
      </c>
      <c r="F36" s="7">
        <v>2.6629999999999998</v>
      </c>
      <c r="G36" s="8">
        <v>19.87</v>
      </c>
      <c r="H36" s="8">
        <v>31.34</v>
      </c>
      <c r="I36" s="8">
        <v>27.46</v>
      </c>
      <c r="J36" s="6">
        <v>2362</v>
      </c>
      <c r="K36" s="6">
        <v>2059</v>
      </c>
      <c r="L36" s="6">
        <v>1811</v>
      </c>
      <c r="M36" s="9">
        <f t="shared" si="5"/>
        <v>1.219E-3</v>
      </c>
      <c r="N36" s="17">
        <f t="shared" si="6"/>
        <v>31.34</v>
      </c>
      <c r="O36" s="9">
        <f t="shared" si="7"/>
        <v>1.219E-3</v>
      </c>
      <c r="P36" s="5">
        <f t="shared" si="8"/>
        <v>0</v>
      </c>
      <c r="Q36" s="5">
        <f t="shared" si="9"/>
        <v>1</v>
      </c>
      <c r="R36" s="4" t="s">
        <v>95</v>
      </c>
    </row>
    <row r="37" spans="1:18" ht="14.4" customHeight="1">
      <c r="A37" s="3" t="s">
        <v>96</v>
      </c>
      <c r="B37" s="4" t="s">
        <v>86</v>
      </c>
      <c r="C37" s="4" t="s">
        <v>73</v>
      </c>
      <c r="D37" s="5">
        <v>2025</v>
      </c>
      <c r="E37" s="6">
        <v>240831</v>
      </c>
      <c r="F37" s="7">
        <v>2.8079999999999998</v>
      </c>
      <c r="G37" s="8">
        <v>19.16</v>
      </c>
      <c r="H37" s="8">
        <v>36.020000000000003</v>
      </c>
      <c r="I37" s="8">
        <v>24.92</v>
      </c>
      <c r="J37" s="6">
        <v>2251</v>
      </c>
      <c r="K37" s="6">
        <v>2024</v>
      </c>
      <c r="L37" s="6">
        <v>1523</v>
      </c>
      <c r="M37" s="9">
        <f t="shared" si="5"/>
        <v>9.4300000000000004E-4</v>
      </c>
      <c r="N37" s="17">
        <f t="shared" si="6"/>
        <v>36.020000000000003</v>
      </c>
      <c r="O37" s="9">
        <f t="shared" si="7"/>
        <v>9.4300000000000004E-4</v>
      </c>
      <c r="P37" s="5">
        <f t="shared" si="8"/>
        <v>0</v>
      </c>
      <c r="Q37" s="5">
        <f t="shared" si="9"/>
        <v>1</v>
      </c>
      <c r="R37" s="4" t="s">
        <v>97</v>
      </c>
    </row>
    <row r="38" spans="1:18" ht="14.4" customHeight="1">
      <c r="A38" s="3" t="s">
        <v>98</v>
      </c>
      <c r="B38" s="4" t="s">
        <v>99</v>
      </c>
      <c r="C38" s="4" t="s">
        <v>73</v>
      </c>
      <c r="D38" s="5">
        <v>2020</v>
      </c>
      <c r="E38" s="6">
        <v>172734</v>
      </c>
      <c r="F38" s="7">
        <v>1.9079999999999999</v>
      </c>
      <c r="G38" s="8">
        <v>18.87</v>
      </c>
      <c r="H38" s="8">
        <v>34.06</v>
      </c>
      <c r="I38" s="8">
        <v>26.87</v>
      </c>
      <c r="J38" s="6">
        <v>1349</v>
      </c>
      <c r="K38" s="6">
        <v>1600</v>
      </c>
      <c r="L38" s="6">
        <v>1373</v>
      </c>
      <c r="M38" s="9">
        <f t="shared" si="5"/>
        <v>-1.4530000000000001E-3</v>
      </c>
      <c r="N38" s="17">
        <f t="shared" si="6"/>
        <v>34.06</v>
      </c>
      <c r="O38" s="9">
        <f t="shared" si="7"/>
        <v>-1.4530000000000001E-3</v>
      </c>
      <c r="P38" s="5">
        <f t="shared" si="8"/>
        <v>0</v>
      </c>
      <c r="Q38" s="5">
        <f t="shared" si="9"/>
        <v>1</v>
      </c>
      <c r="R38" s="4" t="s">
        <v>100</v>
      </c>
    </row>
    <row r="39" spans="1:18" ht="14.4" customHeight="1">
      <c r="A39" s="3" t="s">
        <v>101</v>
      </c>
      <c r="B39" s="4" t="s">
        <v>99</v>
      </c>
      <c r="C39" s="4" t="s">
        <v>73</v>
      </c>
      <c r="D39" s="5">
        <v>2021</v>
      </c>
      <c r="E39" s="6">
        <v>156852</v>
      </c>
      <c r="F39" s="7">
        <v>1.77</v>
      </c>
      <c r="G39" s="8">
        <v>18.98</v>
      </c>
      <c r="H39" s="8">
        <v>35.090000000000003</v>
      </c>
      <c r="I39" s="8">
        <v>26.07</v>
      </c>
      <c r="J39" s="6">
        <v>1240</v>
      </c>
      <c r="K39" s="6">
        <v>1314</v>
      </c>
      <c r="L39" s="6">
        <v>1130</v>
      </c>
      <c r="M39" s="9">
        <f t="shared" si="5"/>
        <v>-4.7199999999999998E-4</v>
      </c>
      <c r="N39" s="17">
        <f t="shared" si="6"/>
        <v>35.090000000000003</v>
      </c>
      <c r="O39" s="9">
        <f t="shared" si="7"/>
        <v>-4.7199999999999998E-4</v>
      </c>
      <c r="P39" s="5">
        <f t="shared" si="8"/>
        <v>0</v>
      </c>
      <c r="Q39" s="5">
        <f t="shared" si="9"/>
        <v>1</v>
      </c>
      <c r="R39" s="4" t="s">
        <v>102</v>
      </c>
    </row>
    <row r="40" spans="1:18" ht="14.4" customHeight="1">
      <c r="A40" s="3" t="s">
        <v>103</v>
      </c>
      <c r="B40" s="4" t="s">
        <v>99</v>
      </c>
      <c r="C40" s="4" t="s">
        <v>73</v>
      </c>
      <c r="D40" s="5">
        <v>2022</v>
      </c>
      <c r="E40" s="6">
        <v>167914</v>
      </c>
      <c r="F40" s="7">
        <v>2.181</v>
      </c>
      <c r="G40" s="8">
        <v>19.559999999999999</v>
      </c>
      <c r="H40" s="8">
        <v>33.5</v>
      </c>
      <c r="I40" s="8">
        <v>27.72</v>
      </c>
      <c r="J40" s="6">
        <v>1516</v>
      </c>
      <c r="K40" s="6">
        <v>1624</v>
      </c>
      <c r="L40" s="6">
        <v>1390</v>
      </c>
      <c r="M40" s="9">
        <f t="shared" si="5"/>
        <v>-6.4300000000000002E-4</v>
      </c>
      <c r="N40" s="17">
        <f t="shared" si="6"/>
        <v>33.5</v>
      </c>
      <c r="O40" s="9">
        <f t="shared" si="7"/>
        <v>-6.4300000000000002E-4</v>
      </c>
      <c r="P40" s="5">
        <f t="shared" si="8"/>
        <v>0</v>
      </c>
      <c r="Q40" s="5">
        <f t="shared" si="9"/>
        <v>1</v>
      </c>
      <c r="R40" s="4" t="s">
        <v>104</v>
      </c>
    </row>
    <row r="41" spans="1:18" ht="14.4" customHeight="1">
      <c r="A41" s="3" t="s">
        <v>105</v>
      </c>
      <c r="B41" s="4" t="s">
        <v>99</v>
      </c>
      <c r="C41" s="4" t="s">
        <v>73</v>
      </c>
      <c r="D41" s="5">
        <v>2023</v>
      </c>
      <c r="E41" s="6">
        <v>157130</v>
      </c>
      <c r="F41" s="7">
        <v>2.012</v>
      </c>
      <c r="G41" s="8">
        <v>19.579999999999998</v>
      </c>
      <c r="H41" s="8">
        <v>33.049999999999997</v>
      </c>
      <c r="I41" s="8">
        <v>27.58</v>
      </c>
      <c r="J41" s="6">
        <v>1398</v>
      </c>
      <c r="K41" s="6">
        <v>1306</v>
      </c>
      <c r="L41" s="6">
        <v>1323</v>
      </c>
      <c r="M41" s="9">
        <f t="shared" si="5"/>
        <v>5.8600000000000004E-4</v>
      </c>
      <c r="N41" s="17">
        <f t="shared" si="6"/>
        <v>33.049999999999997</v>
      </c>
      <c r="O41" s="9">
        <f t="shared" si="7"/>
        <v>5.8600000000000004E-4</v>
      </c>
      <c r="P41" s="5">
        <f t="shared" si="8"/>
        <v>0</v>
      </c>
      <c r="Q41" s="5">
        <f t="shared" si="9"/>
        <v>1</v>
      </c>
      <c r="R41" s="4" t="s">
        <v>106</v>
      </c>
    </row>
    <row r="42" spans="1:18" ht="14.4" customHeight="1">
      <c r="A42" s="3" t="s">
        <v>107</v>
      </c>
      <c r="B42" s="4" t="s">
        <v>99</v>
      </c>
      <c r="C42" s="4" t="s">
        <v>73</v>
      </c>
      <c r="D42" s="5">
        <v>2024</v>
      </c>
      <c r="E42" s="6">
        <v>160452</v>
      </c>
      <c r="F42" s="7">
        <v>2.2879999999999998</v>
      </c>
      <c r="G42" s="8">
        <v>19.579999999999998</v>
      </c>
      <c r="H42" s="8">
        <v>35.32</v>
      </c>
      <c r="I42" s="8">
        <v>25.61</v>
      </c>
      <c r="J42" s="6">
        <v>1425</v>
      </c>
      <c r="K42" s="6">
        <v>1282</v>
      </c>
      <c r="L42" s="6">
        <v>1093</v>
      </c>
      <c r="M42" s="9">
        <f t="shared" si="5"/>
        <v>8.9099999999999997E-4</v>
      </c>
      <c r="N42" s="17">
        <f t="shared" si="6"/>
        <v>35.32</v>
      </c>
      <c r="O42" s="9">
        <f t="shared" si="7"/>
        <v>8.9099999999999997E-4</v>
      </c>
      <c r="P42" s="5">
        <f t="shared" si="8"/>
        <v>0</v>
      </c>
      <c r="Q42" s="5">
        <f t="shared" si="9"/>
        <v>1</v>
      </c>
      <c r="R42" s="4" t="s">
        <v>108</v>
      </c>
    </row>
    <row r="43" spans="1:18" ht="14.4" customHeight="1">
      <c r="A43" s="3" t="s">
        <v>109</v>
      </c>
      <c r="B43" s="4" t="s">
        <v>99</v>
      </c>
      <c r="C43" s="4" t="s">
        <v>73</v>
      </c>
      <c r="D43" s="5">
        <v>2025</v>
      </c>
      <c r="E43" s="6">
        <v>161355</v>
      </c>
      <c r="F43" s="7">
        <v>2.2610000000000001</v>
      </c>
      <c r="G43" s="8">
        <v>18.489999999999998</v>
      </c>
      <c r="H43" s="8">
        <v>36.85</v>
      </c>
      <c r="I43" s="8">
        <v>25.63</v>
      </c>
      <c r="J43" s="6">
        <v>1572</v>
      </c>
      <c r="K43" s="6">
        <v>1323</v>
      </c>
      <c r="L43" s="6">
        <v>1166</v>
      </c>
      <c r="M43" s="9">
        <f t="shared" si="5"/>
        <v>1.5430000000000001E-3</v>
      </c>
      <c r="N43" s="17">
        <f t="shared" si="6"/>
        <v>36.85</v>
      </c>
      <c r="O43" s="9">
        <f t="shared" si="7"/>
        <v>1.5430000000000001E-3</v>
      </c>
      <c r="P43" s="5">
        <f t="shared" si="8"/>
        <v>0</v>
      </c>
      <c r="Q43" s="5">
        <f t="shared" si="9"/>
        <v>1</v>
      </c>
      <c r="R43" s="4" t="s">
        <v>110</v>
      </c>
    </row>
    <row r="44" spans="1:18" ht="14.4" customHeight="1">
      <c r="A44" s="3" t="s">
        <v>111</v>
      </c>
      <c r="B44" s="4" t="s">
        <v>112</v>
      </c>
      <c r="C44" s="4" t="s">
        <v>73</v>
      </c>
      <c r="D44" s="5">
        <v>2020</v>
      </c>
      <c r="E44" s="6">
        <v>292726</v>
      </c>
      <c r="F44" s="7">
        <v>2.4</v>
      </c>
      <c r="G44" s="8">
        <v>20.04</v>
      </c>
      <c r="H44" s="8">
        <v>32.61</v>
      </c>
      <c r="I44" s="8">
        <v>26.86</v>
      </c>
      <c r="J44" s="6">
        <v>2458</v>
      </c>
      <c r="K44" s="6">
        <v>2802</v>
      </c>
      <c r="L44" s="6">
        <v>2398</v>
      </c>
      <c r="M44" s="9">
        <f t="shared" si="5"/>
        <v>-1.175E-3</v>
      </c>
      <c r="N44" s="17">
        <f t="shared" si="6"/>
        <v>32.61</v>
      </c>
      <c r="O44" s="9">
        <f t="shared" si="7"/>
        <v>-1.175E-3</v>
      </c>
      <c r="P44" s="5">
        <f t="shared" si="8"/>
        <v>0</v>
      </c>
      <c r="Q44" s="5">
        <f t="shared" si="9"/>
        <v>1</v>
      </c>
      <c r="R44" s="4" t="s">
        <v>113</v>
      </c>
    </row>
    <row r="45" spans="1:18" ht="14.4" customHeight="1">
      <c r="A45" s="3" t="s">
        <v>114</v>
      </c>
      <c r="B45" s="4" t="s">
        <v>112</v>
      </c>
      <c r="C45" s="4" t="s">
        <v>73</v>
      </c>
      <c r="D45" s="5">
        <v>2021</v>
      </c>
      <c r="E45" s="6">
        <v>278743</v>
      </c>
      <c r="F45" s="7">
        <v>2.3820000000000001</v>
      </c>
      <c r="G45" s="8">
        <v>19.809999999999999</v>
      </c>
      <c r="H45" s="8">
        <v>32.85</v>
      </c>
      <c r="I45" s="8">
        <v>26.19</v>
      </c>
      <c r="J45" s="6">
        <v>2303</v>
      </c>
      <c r="K45" s="6">
        <v>2684</v>
      </c>
      <c r="L45" s="6">
        <v>2130</v>
      </c>
      <c r="M45" s="9">
        <f t="shared" si="5"/>
        <v>-1.3669999999999999E-3</v>
      </c>
      <c r="N45" s="17">
        <f t="shared" si="6"/>
        <v>32.85</v>
      </c>
      <c r="O45" s="9">
        <f t="shared" si="7"/>
        <v>-1.3669999999999999E-3</v>
      </c>
      <c r="P45" s="5">
        <f t="shared" si="8"/>
        <v>0</v>
      </c>
      <c r="Q45" s="5">
        <f t="shared" si="9"/>
        <v>1</v>
      </c>
      <c r="R45" s="4" t="s">
        <v>115</v>
      </c>
    </row>
    <row r="46" spans="1:18" ht="14.4" customHeight="1">
      <c r="A46" s="3" t="s">
        <v>116</v>
      </c>
      <c r="B46" s="4" t="s">
        <v>112</v>
      </c>
      <c r="C46" s="4" t="s">
        <v>73</v>
      </c>
      <c r="D46" s="5">
        <v>2022</v>
      </c>
      <c r="E46" s="6">
        <v>301363</v>
      </c>
      <c r="F46" s="7">
        <v>2.2549999999999999</v>
      </c>
      <c r="G46" s="8">
        <v>19.53</v>
      </c>
      <c r="H46" s="8">
        <v>31.54</v>
      </c>
      <c r="I46" s="8">
        <v>27.18</v>
      </c>
      <c r="J46" s="6">
        <v>2603</v>
      </c>
      <c r="K46" s="6">
        <v>2822</v>
      </c>
      <c r="L46" s="6">
        <v>2563</v>
      </c>
      <c r="M46" s="9">
        <f t="shared" si="5"/>
        <v>-7.27E-4</v>
      </c>
      <c r="N46" s="17">
        <f t="shared" si="6"/>
        <v>31.54</v>
      </c>
      <c r="O46" s="9">
        <f t="shared" si="7"/>
        <v>-7.27E-4</v>
      </c>
      <c r="P46" s="5">
        <f t="shared" si="8"/>
        <v>0</v>
      </c>
      <c r="Q46" s="5">
        <f t="shared" si="9"/>
        <v>1</v>
      </c>
      <c r="R46" s="4" t="s">
        <v>117</v>
      </c>
    </row>
    <row r="47" spans="1:18" ht="14.4" customHeight="1">
      <c r="A47" s="3" t="s">
        <v>118</v>
      </c>
      <c r="B47" s="4" t="s">
        <v>112</v>
      </c>
      <c r="C47" s="4" t="s">
        <v>73</v>
      </c>
      <c r="D47" s="5">
        <v>2023</v>
      </c>
      <c r="E47" s="6">
        <v>279167</v>
      </c>
      <c r="F47" s="7">
        <v>2.3759999999999999</v>
      </c>
      <c r="G47" s="8">
        <v>19.809999999999999</v>
      </c>
      <c r="H47" s="8">
        <v>32.020000000000003</v>
      </c>
      <c r="I47" s="8">
        <v>27.09</v>
      </c>
      <c r="J47" s="6">
        <v>2655</v>
      </c>
      <c r="K47" s="6">
        <v>2217</v>
      </c>
      <c r="L47" s="6">
        <v>2084</v>
      </c>
      <c r="M47" s="9">
        <f t="shared" si="5"/>
        <v>1.5690000000000001E-3</v>
      </c>
      <c r="N47" s="17">
        <f t="shared" si="6"/>
        <v>32.020000000000003</v>
      </c>
      <c r="O47" s="9">
        <f t="shared" si="7"/>
        <v>1.5690000000000001E-3</v>
      </c>
      <c r="P47" s="5">
        <f t="shared" si="8"/>
        <v>0</v>
      </c>
      <c r="Q47" s="5">
        <f t="shared" si="9"/>
        <v>1</v>
      </c>
      <c r="R47" s="4" t="s">
        <v>119</v>
      </c>
    </row>
    <row r="48" spans="1:18" ht="14.4" customHeight="1">
      <c r="A48" s="3" t="s">
        <v>120</v>
      </c>
      <c r="B48" s="4" t="s">
        <v>112</v>
      </c>
      <c r="C48" s="4" t="s">
        <v>73</v>
      </c>
      <c r="D48" s="5">
        <v>2024</v>
      </c>
      <c r="E48" s="6">
        <v>283315</v>
      </c>
      <c r="F48" s="7">
        <v>2.5960000000000001</v>
      </c>
      <c r="G48" s="8">
        <v>19.149999999999999</v>
      </c>
      <c r="H48" s="8">
        <v>33.799999999999997</v>
      </c>
      <c r="I48" s="8">
        <v>27.51</v>
      </c>
      <c r="J48" s="6">
        <v>2858</v>
      </c>
      <c r="K48" s="6">
        <v>2319</v>
      </c>
      <c r="L48" s="6">
        <v>1988</v>
      </c>
      <c r="M48" s="9">
        <f t="shared" si="5"/>
        <v>1.902E-3</v>
      </c>
      <c r="N48" s="17">
        <f t="shared" si="6"/>
        <v>33.799999999999997</v>
      </c>
      <c r="O48" s="9">
        <f t="shared" si="7"/>
        <v>1.902E-3</v>
      </c>
      <c r="P48" s="5">
        <f t="shared" si="8"/>
        <v>0</v>
      </c>
      <c r="Q48" s="5">
        <f t="shared" si="9"/>
        <v>1</v>
      </c>
      <c r="R48" s="4" t="s">
        <v>121</v>
      </c>
    </row>
    <row r="49" spans="1:18" ht="14.4" customHeight="1">
      <c r="A49" s="3" t="s">
        <v>122</v>
      </c>
      <c r="B49" s="4" t="s">
        <v>112</v>
      </c>
      <c r="C49" s="4" t="s">
        <v>73</v>
      </c>
      <c r="D49" s="5">
        <v>2025</v>
      </c>
      <c r="E49" s="6">
        <v>295729</v>
      </c>
      <c r="F49" s="7">
        <v>2.4790000000000001</v>
      </c>
      <c r="G49" s="8">
        <v>19.510000000000002</v>
      </c>
      <c r="H49" s="8">
        <v>33.94</v>
      </c>
      <c r="I49" s="8">
        <v>25.71</v>
      </c>
      <c r="J49" s="6">
        <v>2723</v>
      </c>
      <c r="K49" s="6">
        <v>2610</v>
      </c>
      <c r="L49" s="6">
        <v>1964</v>
      </c>
      <c r="M49" s="9">
        <f t="shared" si="5"/>
        <v>3.8200000000000002E-4</v>
      </c>
      <c r="N49" s="17">
        <f t="shared" si="6"/>
        <v>33.94</v>
      </c>
      <c r="O49" s="9">
        <f t="shared" si="7"/>
        <v>3.8200000000000002E-4</v>
      </c>
      <c r="P49" s="5">
        <f t="shared" si="8"/>
        <v>0</v>
      </c>
      <c r="Q49" s="5">
        <f t="shared" si="9"/>
        <v>1</v>
      </c>
      <c r="R49" s="4" t="s">
        <v>123</v>
      </c>
    </row>
    <row r="50" spans="1:18" ht="14.4" customHeight="1">
      <c r="A50" s="3" t="s">
        <v>124</v>
      </c>
      <c r="B50" s="4" t="s">
        <v>125</v>
      </c>
      <c r="C50" s="4" t="s">
        <v>126</v>
      </c>
      <c r="D50" s="5">
        <v>2020</v>
      </c>
      <c r="E50" s="6">
        <v>237708</v>
      </c>
      <c r="F50" s="7">
        <v>1.6839999999999999</v>
      </c>
      <c r="G50" s="8">
        <v>18.809999999999999</v>
      </c>
      <c r="H50" s="8">
        <v>37.090000000000003</v>
      </c>
      <c r="I50" s="8">
        <v>27.08</v>
      </c>
      <c r="J50" s="6">
        <v>2259</v>
      </c>
      <c r="K50" s="6">
        <v>1903</v>
      </c>
      <c r="L50" s="6">
        <v>1589</v>
      </c>
      <c r="M50" s="9">
        <f t="shared" si="5"/>
        <v>1.498E-3</v>
      </c>
      <c r="N50" s="17">
        <f t="shared" si="6"/>
        <v>37.090000000000003</v>
      </c>
      <c r="O50" s="9">
        <f t="shared" si="7"/>
        <v>1.498E-3</v>
      </c>
      <c r="P50" s="5">
        <f t="shared" si="8"/>
        <v>0</v>
      </c>
      <c r="Q50" s="5">
        <f t="shared" si="9"/>
        <v>0</v>
      </c>
      <c r="R50" s="4" t="s">
        <v>127</v>
      </c>
    </row>
    <row r="51" spans="1:18" ht="14.4" customHeight="1">
      <c r="A51" s="3" t="s">
        <v>128</v>
      </c>
      <c r="B51" s="4" t="s">
        <v>125</v>
      </c>
      <c r="C51" s="4" t="s">
        <v>126</v>
      </c>
      <c r="D51" s="5">
        <v>2021</v>
      </c>
      <c r="E51" s="6">
        <v>231799</v>
      </c>
      <c r="F51" s="7">
        <v>1.5189999999999999</v>
      </c>
      <c r="G51" s="8">
        <v>19.64</v>
      </c>
      <c r="H51" s="8">
        <v>33.619999999999997</v>
      </c>
      <c r="I51" s="8">
        <v>26.01</v>
      </c>
      <c r="J51" s="6">
        <v>2375</v>
      </c>
      <c r="K51" s="6">
        <v>1771</v>
      </c>
      <c r="L51" s="6">
        <v>1509</v>
      </c>
      <c r="M51" s="9">
        <f t="shared" si="5"/>
        <v>2.6059999999999998E-3</v>
      </c>
      <c r="N51" s="17">
        <f t="shared" si="6"/>
        <v>33.619999999999997</v>
      </c>
      <c r="O51" s="9">
        <f t="shared" si="7"/>
        <v>2.6059999999999998E-3</v>
      </c>
      <c r="P51" s="5">
        <f t="shared" si="8"/>
        <v>0</v>
      </c>
      <c r="Q51" s="5">
        <f t="shared" si="9"/>
        <v>0</v>
      </c>
      <c r="R51" s="4" t="s">
        <v>129</v>
      </c>
    </row>
    <row r="52" spans="1:18" ht="14.4" customHeight="1">
      <c r="A52" s="3" t="s">
        <v>130</v>
      </c>
      <c r="B52" s="4" t="s">
        <v>125</v>
      </c>
      <c r="C52" s="4" t="s">
        <v>126</v>
      </c>
      <c r="D52" s="5">
        <v>2022</v>
      </c>
      <c r="E52" s="6">
        <v>237075</v>
      </c>
      <c r="F52" s="7">
        <v>1.7010000000000001</v>
      </c>
      <c r="G52" s="8">
        <v>19.29</v>
      </c>
      <c r="H52" s="8">
        <v>35.24</v>
      </c>
      <c r="I52" s="8">
        <v>26.03</v>
      </c>
      <c r="J52" s="6">
        <v>2346</v>
      </c>
      <c r="K52" s="6">
        <v>1802</v>
      </c>
      <c r="L52" s="6">
        <v>1619</v>
      </c>
      <c r="M52" s="9">
        <f t="shared" si="5"/>
        <v>2.2950000000000002E-3</v>
      </c>
      <c r="N52" s="17">
        <f t="shared" si="6"/>
        <v>35.24</v>
      </c>
      <c r="O52" s="9">
        <f t="shared" si="7"/>
        <v>2.2950000000000002E-3</v>
      </c>
      <c r="P52" s="5">
        <f t="shared" si="8"/>
        <v>0</v>
      </c>
      <c r="Q52" s="5">
        <f t="shared" si="9"/>
        <v>0</v>
      </c>
      <c r="R52" s="4" t="s">
        <v>131</v>
      </c>
    </row>
    <row r="53" spans="1:18" ht="14.4" customHeight="1">
      <c r="A53" s="3" t="s">
        <v>132</v>
      </c>
      <c r="B53" s="4" t="s">
        <v>125</v>
      </c>
      <c r="C53" s="4" t="s">
        <v>126</v>
      </c>
      <c r="D53" s="5">
        <v>2023</v>
      </c>
      <c r="E53" s="6">
        <v>249298</v>
      </c>
      <c r="F53" s="7">
        <v>1.448</v>
      </c>
      <c r="G53" s="8">
        <v>19.04</v>
      </c>
      <c r="H53" s="8">
        <v>35.18</v>
      </c>
      <c r="I53" s="8">
        <v>26.57</v>
      </c>
      <c r="J53" s="6">
        <v>2604</v>
      </c>
      <c r="K53" s="6">
        <v>1828</v>
      </c>
      <c r="L53" s="6">
        <v>1516</v>
      </c>
      <c r="M53" s="9">
        <f t="shared" si="5"/>
        <v>3.1129999999999999E-3</v>
      </c>
      <c r="N53" s="17">
        <f t="shared" si="6"/>
        <v>35.18</v>
      </c>
      <c r="O53" s="9">
        <f t="shared" si="7"/>
        <v>3.1129999999999999E-3</v>
      </c>
      <c r="P53" s="5">
        <f t="shared" si="8"/>
        <v>0</v>
      </c>
      <c r="Q53" s="5">
        <f t="shared" si="9"/>
        <v>0</v>
      </c>
      <c r="R53" s="4" t="s">
        <v>133</v>
      </c>
    </row>
    <row r="54" spans="1:18" ht="14.4" customHeight="1">
      <c r="A54" s="3" t="s">
        <v>134</v>
      </c>
      <c r="B54" s="4" t="s">
        <v>125</v>
      </c>
      <c r="C54" s="4" t="s">
        <v>126</v>
      </c>
      <c r="D54" s="5">
        <v>2024</v>
      </c>
      <c r="E54" s="6">
        <v>250054</v>
      </c>
      <c r="F54" s="7">
        <v>2.073</v>
      </c>
      <c r="G54" s="8">
        <v>18.78</v>
      </c>
      <c r="H54" s="8">
        <v>39.32</v>
      </c>
      <c r="I54" s="8">
        <v>25.75</v>
      </c>
      <c r="J54" s="6">
        <v>2522</v>
      </c>
      <c r="K54" s="6">
        <v>1714</v>
      </c>
      <c r="L54" s="6">
        <v>1568</v>
      </c>
      <c r="M54" s="9">
        <f t="shared" si="5"/>
        <v>3.2309999999999999E-3</v>
      </c>
      <c r="N54" s="17">
        <f t="shared" si="6"/>
        <v>39.32</v>
      </c>
      <c r="O54" s="9">
        <f t="shared" si="7"/>
        <v>3.2309999999999999E-3</v>
      </c>
      <c r="P54" s="5">
        <f t="shared" si="8"/>
        <v>0</v>
      </c>
      <c r="Q54" s="5">
        <f t="shared" si="9"/>
        <v>0</v>
      </c>
      <c r="R54" s="4" t="s">
        <v>135</v>
      </c>
    </row>
    <row r="55" spans="1:18" ht="14.4" customHeight="1">
      <c r="A55" s="3" t="s">
        <v>136</v>
      </c>
      <c r="B55" s="4" t="s">
        <v>125</v>
      </c>
      <c r="C55" s="4" t="s">
        <v>126</v>
      </c>
      <c r="D55" s="5">
        <v>2025</v>
      </c>
      <c r="E55" s="6">
        <v>257803</v>
      </c>
      <c r="F55" s="7">
        <v>2.0609999999999999</v>
      </c>
      <c r="G55" s="8">
        <v>19.18</v>
      </c>
      <c r="H55" s="8">
        <v>39.69</v>
      </c>
      <c r="I55" s="8">
        <v>26.12</v>
      </c>
      <c r="J55" s="6">
        <v>2867</v>
      </c>
      <c r="K55" s="6">
        <v>2042</v>
      </c>
      <c r="L55" s="6">
        <v>1473</v>
      </c>
      <c r="M55" s="9">
        <f t="shared" si="5"/>
        <v>3.2000000000000002E-3</v>
      </c>
      <c r="N55" s="17">
        <f t="shared" si="6"/>
        <v>39.69</v>
      </c>
      <c r="O55" s="9">
        <f t="shared" si="7"/>
        <v>3.2000000000000002E-3</v>
      </c>
      <c r="P55" s="5">
        <f t="shared" si="8"/>
        <v>0</v>
      </c>
      <c r="Q55" s="5">
        <f t="shared" si="9"/>
        <v>0</v>
      </c>
      <c r="R55" s="4" t="s">
        <v>137</v>
      </c>
    </row>
    <row r="56" spans="1:18" ht="14.4" customHeight="1">
      <c r="A56" s="3" t="s">
        <v>138</v>
      </c>
      <c r="B56" s="4" t="s">
        <v>139</v>
      </c>
      <c r="C56" s="4" t="s">
        <v>126</v>
      </c>
      <c r="D56" s="5">
        <v>2020</v>
      </c>
      <c r="E56" s="6">
        <v>207818</v>
      </c>
      <c r="F56" s="7">
        <v>1.4690000000000001</v>
      </c>
      <c r="G56" s="8">
        <v>18.88</v>
      </c>
      <c r="H56" s="8">
        <v>36.29</v>
      </c>
      <c r="I56" s="8">
        <v>27.07</v>
      </c>
      <c r="J56" s="6">
        <v>1950</v>
      </c>
      <c r="K56" s="6">
        <v>1852</v>
      </c>
      <c r="L56" s="6">
        <v>1551</v>
      </c>
      <c r="M56" s="9">
        <f t="shared" si="5"/>
        <v>4.7199999999999998E-4</v>
      </c>
      <c r="N56" s="17">
        <f t="shared" si="6"/>
        <v>36.29</v>
      </c>
      <c r="O56" s="9">
        <f t="shared" si="7"/>
        <v>4.7199999999999998E-4</v>
      </c>
      <c r="P56" s="5">
        <f t="shared" si="8"/>
        <v>0</v>
      </c>
      <c r="Q56" s="5">
        <f t="shared" si="9"/>
        <v>0</v>
      </c>
      <c r="R56" s="4" t="s">
        <v>140</v>
      </c>
    </row>
    <row r="57" spans="1:18" ht="14.4" customHeight="1">
      <c r="A57" s="3" t="s">
        <v>141</v>
      </c>
      <c r="B57" s="4" t="s">
        <v>139</v>
      </c>
      <c r="C57" s="4" t="s">
        <v>126</v>
      </c>
      <c r="D57" s="5">
        <v>2021</v>
      </c>
      <c r="E57" s="6">
        <v>192147</v>
      </c>
      <c r="F57" s="7">
        <v>1.5660000000000001</v>
      </c>
      <c r="G57" s="8">
        <v>19.71</v>
      </c>
      <c r="H57" s="8">
        <v>36.76</v>
      </c>
      <c r="I57" s="8">
        <v>26.31</v>
      </c>
      <c r="J57" s="6">
        <v>1944</v>
      </c>
      <c r="K57" s="6">
        <v>1403</v>
      </c>
      <c r="L57" s="6">
        <v>1260</v>
      </c>
      <c r="M57" s="9">
        <f t="shared" si="5"/>
        <v>2.8159999999999999E-3</v>
      </c>
      <c r="N57" s="17">
        <f t="shared" si="6"/>
        <v>36.76</v>
      </c>
      <c r="O57" s="9">
        <f t="shared" si="7"/>
        <v>2.8159999999999999E-3</v>
      </c>
      <c r="P57" s="5">
        <f t="shared" si="8"/>
        <v>0</v>
      </c>
      <c r="Q57" s="5">
        <f t="shared" si="9"/>
        <v>0</v>
      </c>
      <c r="R57" s="4" t="s">
        <v>142</v>
      </c>
    </row>
    <row r="58" spans="1:18" ht="14.4" customHeight="1">
      <c r="A58" s="3" t="s">
        <v>143</v>
      </c>
      <c r="B58" s="4" t="s">
        <v>139</v>
      </c>
      <c r="C58" s="4" t="s">
        <v>126</v>
      </c>
      <c r="D58" s="5">
        <v>2022</v>
      </c>
      <c r="E58" s="6">
        <v>185407</v>
      </c>
      <c r="F58" s="7">
        <v>1.599</v>
      </c>
      <c r="G58" s="8">
        <v>19.22</v>
      </c>
      <c r="H58" s="8">
        <v>37.51</v>
      </c>
      <c r="I58" s="8">
        <v>27.28</v>
      </c>
      <c r="J58" s="6">
        <v>1959</v>
      </c>
      <c r="K58" s="6">
        <v>1306</v>
      </c>
      <c r="L58" s="6">
        <v>1230</v>
      </c>
      <c r="M58" s="9">
        <f t="shared" si="5"/>
        <v>3.522E-3</v>
      </c>
      <c r="N58" s="17">
        <f t="shared" si="6"/>
        <v>37.51</v>
      </c>
      <c r="O58" s="9">
        <f t="shared" si="7"/>
        <v>3.522E-3</v>
      </c>
      <c r="P58" s="5">
        <f t="shared" si="8"/>
        <v>0</v>
      </c>
      <c r="Q58" s="5">
        <f t="shared" si="9"/>
        <v>0</v>
      </c>
      <c r="R58" s="4" t="s">
        <v>144</v>
      </c>
    </row>
    <row r="59" spans="1:18" ht="14.4" customHeight="1">
      <c r="A59" s="3" t="s">
        <v>145</v>
      </c>
      <c r="B59" s="4" t="s">
        <v>139</v>
      </c>
      <c r="C59" s="4" t="s">
        <v>126</v>
      </c>
      <c r="D59" s="5">
        <v>2023</v>
      </c>
      <c r="E59" s="6">
        <v>192612</v>
      </c>
      <c r="F59" s="7">
        <v>1.6180000000000001</v>
      </c>
      <c r="G59" s="8">
        <v>18.850000000000001</v>
      </c>
      <c r="H59" s="8">
        <v>37.229999999999997</v>
      </c>
      <c r="I59" s="8">
        <v>26.43</v>
      </c>
      <c r="J59" s="6">
        <v>2063</v>
      </c>
      <c r="K59" s="6">
        <v>1239</v>
      </c>
      <c r="L59" s="6">
        <v>1237</v>
      </c>
      <c r="M59" s="9">
        <f t="shared" si="5"/>
        <v>4.2779999999999997E-3</v>
      </c>
      <c r="N59" s="17">
        <f t="shared" si="6"/>
        <v>37.229999999999997</v>
      </c>
      <c r="O59" s="9">
        <f t="shared" si="7"/>
        <v>4.2779999999999997E-3</v>
      </c>
      <c r="P59" s="5">
        <f t="shared" si="8"/>
        <v>0</v>
      </c>
      <c r="Q59" s="5">
        <f t="shared" si="9"/>
        <v>0</v>
      </c>
      <c r="R59" s="4" t="s">
        <v>146</v>
      </c>
    </row>
    <row r="60" spans="1:18" ht="14.4" customHeight="1">
      <c r="A60" s="3" t="s">
        <v>147</v>
      </c>
      <c r="B60" s="4" t="s">
        <v>139</v>
      </c>
      <c r="C60" s="4" t="s">
        <v>126</v>
      </c>
      <c r="D60" s="5">
        <v>2024</v>
      </c>
      <c r="E60" s="6">
        <v>198281</v>
      </c>
      <c r="F60" s="7">
        <v>1.7290000000000001</v>
      </c>
      <c r="G60" s="8">
        <v>19.260000000000002</v>
      </c>
      <c r="H60" s="8">
        <v>37.67</v>
      </c>
      <c r="I60" s="8">
        <v>26.13</v>
      </c>
      <c r="J60" s="6">
        <v>2130</v>
      </c>
      <c r="K60" s="6">
        <v>1470</v>
      </c>
      <c r="L60" s="6">
        <v>1143</v>
      </c>
      <c r="M60" s="9">
        <f t="shared" si="5"/>
        <v>3.3289999999999999E-3</v>
      </c>
      <c r="N60" s="17">
        <f t="shared" si="6"/>
        <v>37.67</v>
      </c>
      <c r="O60" s="9">
        <f t="shared" si="7"/>
        <v>3.3289999999999999E-3</v>
      </c>
      <c r="P60" s="5">
        <f t="shared" si="8"/>
        <v>0</v>
      </c>
      <c r="Q60" s="5">
        <f t="shared" si="9"/>
        <v>0</v>
      </c>
      <c r="R60" s="4" t="s">
        <v>148</v>
      </c>
    </row>
    <row r="61" spans="1:18" ht="14.4" customHeight="1">
      <c r="A61" s="3" t="s">
        <v>149</v>
      </c>
      <c r="B61" s="4" t="s">
        <v>139</v>
      </c>
      <c r="C61" s="4" t="s">
        <v>126</v>
      </c>
      <c r="D61" s="5">
        <v>2025</v>
      </c>
      <c r="E61" s="6">
        <v>204648</v>
      </c>
      <c r="F61" s="7">
        <v>1.6679999999999999</v>
      </c>
      <c r="G61" s="8">
        <v>19.45</v>
      </c>
      <c r="H61" s="8">
        <v>36.35</v>
      </c>
      <c r="I61" s="8">
        <v>26.74</v>
      </c>
      <c r="J61" s="6">
        <v>2117</v>
      </c>
      <c r="K61" s="6">
        <v>1342</v>
      </c>
      <c r="L61" s="6">
        <v>1090</v>
      </c>
      <c r="M61" s="9">
        <f t="shared" si="5"/>
        <v>3.787E-3</v>
      </c>
      <c r="N61" s="17">
        <f t="shared" si="6"/>
        <v>36.35</v>
      </c>
      <c r="O61" s="9">
        <f t="shared" si="7"/>
        <v>3.787E-3</v>
      </c>
      <c r="P61" s="5">
        <f t="shared" si="8"/>
        <v>0</v>
      </c>
      <c r="Q61" s="5">
        <f t="shared" si="9"/>
        <v>0</v>
      </c>
      <c r="R61" s="4" t="s">
        <v>150</v>
      </c>
    </row>
    <row r="62" spans="1:18" ht="14.4" customHeight="1">
      <c r="A62" s="3" t="s">
        <v>151</v>
      </c>
      <c r="B62" s="4" t="s">
        <v>152</v>
      </c>
      <c r="C62" s="4" t="s">
        <v>126</v>
      </c>
      <c r="D62" s="5">
        <v>2020</v>
      </c>
      <c r="E62" s="6">
        <v>130437</v>
      </c>
      <c r="F62" s="7">
        <v>1.46</v>
      </c>
      <c r="G62" s="8">
        <v>19.079999999999998</v>
      </c>
      <c r="H62" s="8">
        <v>34.75</v>
      </c>
      <c r="I62" s="8">
        <v>25.58</v>
      </c>
      <c r="J62" s="6">
        <v>1183</v>
      </c>
      <c r="K62" s="6">
        <v>1180</v>
      </c>
      <c r="L62" s="6">
        <v>928</v>
      </c>
      <c r="M62" s="9">
        <f t="shared" si="5"/>
        <v>2.3E-5</v>
      </c>
      <c r="N62" s="17">
        <f t="shared" si="6"/>
        <v>34.75</v>
      </c>
      <c r="O62" s="9">
        <f t="shared" si="7"/>
        <v>2.3E-5</v>
      </c>
      <c r="P62" s="5">
        <f t="shared" si="8"/>
        <v>0</v>
      </c>
      <c r="Q62" s="5">
        <f t="shared" si="9"/>
        <v>0</v>
      </c>
      <c r="R62" s="4" t="s">
        <v>153</v>
      </c>
    </row>
    <row r="63" spans="1:18" ht="14.4" customHeight="1">
      <c r="A63" s="3" t="s">
        <v>154</v>
      </c>
      <c r="B63" s="4" t="s">
        <v>152</v>
      </c>
      <c r="C63" s="4" t="s">
        <v>126</v>
      </c>
      <c r="D63" s="5">
        <v>2021</v>
      </c>
      <c r="E63" s="6">
        <v>124111</v>
      </c>
      <c r="F63" s="7">
        <v>1.5</v>
      </c>
      <c r="G63" s="8">
        <v>19.760000000000002</v>
      </c>
      <c r="H63" s="8">
        <v>32.18</v>
      </c>
      <c r="I63" s="8">
        <v>26.71</v>
      </c>
      <c r="J63" s="6">
        <v>1187</v>
      </c>
      <c r="K63" s="6">
        <v>1035</v>
      </c>
      <c r="L63" s="6">
        <v>774</v>
      </c>
      <c r="M63" s="9">
        <f t="shared" si="5"/>
        <v>1.225E-3</v>
      </c>
      <c r="N63" s="17">
        <f t="shared" si="6"/>
        <v>32.18</v>
      </c>
      <c r="O63" s="9">
        <f t="shared" si="7"/>
        <v>1.225E-3</v>
      </c>
      <c r="P63" s="5">
        <f t="shared" si="8"/>
        <v>0</v>
      </c>
      <c r="Q63" s="5">
        <f t="shared" si="9"/>
        <v>0</v>
      </c>
      <c r="R63" s="4" t="s">
        <v>155</v>
      </c>
    </row>
    <row r="64" spans="1:18" ht="14.4" customHeight="1">
      <c r="A64" s="3" t="s">
        <v>156</v>
      </c>
      <c r="B64" s="4" t="s">
        <v>152</v>
      </c>
      <c r="C64" s="4" t="s">
        <v>126</v>
      </c>
      <c r="D64" s="5">
        <v>2022</v>
      </c>
      <c r="E64" s="6">
        <v>118727</v>
      </c>
      <c r="F64" s="7">
        <v>1.6060000000000001</v>
      </c>
      <c r="G64" s="8">
        <v>19.77</v>
      </c>
      <c r="H64" s="8">
        <v>34.909999999999997</v>
      </c>
      <c r="I64" s="8">
        <v>26.53</v>
      </c>
      <c r="J64" s="6">
        <v>1127</v>
      </c>
      <c r="K64" s="6">
        <v>887</v>
      </c>
      <c r="L64" s="6">
        <v>712</v>
      </c>
      <c r="M64" s="9">
        <f t="shared" si="5"/>
        <v>2.0209999999999998E-3</v>
      </c>
      <c r="N64" s="17">
        <f t="shared" si="6"/>
        <v>34.909999999999997</v>
      </c>
      <c r="O64" s="9">
        <f t="shared" si="7"/>
        <v>2.0209999999999998E-3</v>
      </c>
      <c r="P64" s="5">
        <f t="shared" si="8"/>
        <v>0</v>
      </c>
      <c r="Q64" s="5">
        <f t="shared" si="9"/>
        <v>0</v>
      </c>
      <c r="R64" s="4" t="s">
        <v>157</v>
      </c>
    </row>
    <row r="65" spans="1:18" ht="14.4" customHeight="1">
      <c r="A65" s="3" t="s">
        <v>158</v>
      </c>
      <c r="B65" s="4" t="s">
        <v>152</v>
      </c>
      <c r="C65" s="4" t="s">
        <v>126</v>
      </c>
      <c r="D65" s="5">
        <v>2023</v>
      </c>
      <c r="E65" s="6">
        <v>129422</v>
      </c>
      <c r="F65" s="7">
        <v>1.696</v>
      </c>
      <c r="G65" s="8">
        <v>19.63</v>
      </c>
      <c r="H65" s="8">
        <v>36.57</v>
      </c>
      <c r="I65" s="8">
        <v>26.6</v>
      </c>
      <c r="J65" s="6">
        <v>1326</v>
      </c>
      <c r="K65" s="6">
        <v>869</v>
      </c>
      <c r="L65" s="6">
        <v>816</v>
      </c>
      <c r="M65" s="9">
        <f t="shared" si="5"/>
        <v>3.5309999999999999E-3</v>
      </c>
      <c r="N65" s="17">
        <f t="shared" si="6"/>
        <v>36.57</v>
      </c>
      <c r="O65" s="9">
        <f t="shared" si="7"/>
        <v>3.5309999999999999E-3</v>
      </c>
      <c r="P65" s="5">
        <f t="shared" si="8"/>
        <v>0</v>
      </c>
      <c r="Q65" s="5">
        <f t="shared" si="9"/>
        <v>0</v>
      </c>
      <c r="R65" s="4" t="s">
        <v>159</v>
      </c>
    </row>
    <row r="66" spans="1:18" ht="14.4" customHeight="1">
      <c r="A66" s="3" t="s">
        <v>160</v>
      </c>
      <c r="B66" s="4" t="s">
        <v>152</v>
      </c>
      <c r="C66" s="4" t="s">
        <v>126</v>
      </c>
      <c r="D66" s="5">
        <v>2024</v>
      </c>
      <c r="E66" s="6">
        <v>130978</v>
      </c>
      <c r="F66" s="7">
        <v>1.444</v>
      </c>
      <c r="G66" s="8">
        <v>19.46</v>
      </c>
      <c r="H66" s="8">
        <v>36.53</v>
      </c>
      <c r="I66" s="8">
        <v>24.88</v>
      </c>
      <c r="J66" s="6">
        <v>1374</v>
      </c>
      <c r="K66" s="6">
        <v>872</v>
      </c>
      <c r="L66" s="6">
        <v>789</v>
      </c>
      <c r="M66" s="9">
        <f t="shared" ref="M66:M73" si="10">ROUND((J66-K66)/E66,6)</f>
        <v>3.833E-3</v>
      </c>
      <c r="N66" s="17">
        <f t="shared" ref="N66:N73" si="11">H66</f>
        <v>36.53</v>
      </c>
      <c r="O66" s="9">
        <f t="shared" ref="O66:O73" si="12">M66</f>
        <v>3.833E-3</v>
      </c>
      <c r="P66" s="5">
        <f t="shared" ref="P66:P73" si="13">IF(C66="Banking",1,0)</f>
        <v>0</v>
      </c>
      <c r="Q66" s="5">
        <f t="shared" ref="Q66:Q73" si="14">IF(C66="Energy",1,0)</f>
        <v>0</v>
      </c>
      <c r="R66" s="4" t="s">
        <v>161</v>
      </c>
    </row>
    <row r="67" spans="1:18" ht="14.4" customHeight="1">
      <c r="A67" s="3" t="s">
        <v>162</v>
      </c>
      <c r="B67" s="4" t="s">
        <v>152</v>
      </c>
      <c r="C67" s="4" t="s">
        <v>126</v>
      </c>
      <c r="D67" s="5">
        <v>2025</v>
      </c>
      <c r="E67" s="6">
        <v>128194</v>
      </c>
      <c r="F67" s="7">
        <v>1.8819999999999999</v>
      </c>
      <c r="G67" s="8">
        <v>19.13</v>
      </c>
      <c r="H67" s="8">
        <v>37.409999999999997</v>
      </c>
      <c r="I67" s="8">
        <v>25.41</v>
      </c>
      <c r="J67" s="6">
        <v>1313</v>
      </c>
      <c r="K67" s="6">
        <v>889</v>
      </c>
      <c r="L67" s="6">
        <v>694</v>
      </c>
      <c r="M67" s="9">
        <f t="shared" si="10"/>
        <v>3.307E-3</v>
      </c>
      <c r="N67" s="17">
        <f t="shared" si="11"/>
        <v>37.409999999999997</v>
      </c>
      <c r="O67" s="9">
        <f t="shared" si="12"/>
        <v>3.307E-3</v>
      </c>
      <c r="P67" s="5">
        <f t="shared" si="13"/>
        <v>0</v>
      </c>
      <c r="Q67" s="5">
        <f t="shared" si="14"/>
        <v>0</v>
      </c>
      <c r="R67" s="4" t="s">
        <v>163</v>
      </c>
    </row>
    <row r="68" spans="1:18" ht="14.4" customHeight="1">
      <c r="A68" s="3" t="s">
        <v>164</v>
      </c>
      <c r="B68" s="4" t="s">
        <v>165</v>
      </c>
      <c r="C68" s="4" t="s">
        <v>126</v>
      </c>
      <c r="D68" s="5">
        <v>2020</v>
      </c>
      <c r="E68" s="6">
        <v>272503</v>
      </c>
      <c r="F68" s="7">
        <v>1.694</v>
      </c>
      <c r="G68" s="8">
        <v>18.88</v>
      </c>
      <c r="H68" s="8">
        <v>35.090000000000003</v>
      </c>
      <c r="I68" s="8">
        <v>25.15</v>
      </c>
      <c r="J68" s="6">
        <v>2824</v>
      </c>
      <c r="K68" s="6">
        <v>2456</v>
      </c>
      <c r="L68" s="6">
        <v>1986</v>
      </c>
      <c r="M68" s="9">
        <f t="shared" si="10"/>
        <v>1.3500000000000001E-3</v>
      </c>
      <c r="N68" s="17">
        <f t="shared" si="11"/>
        <v>35.090000000000003</v>
      </c>
      <c r="O68" s="9">
        <f t="shared" si="12"/>
        <v>1.3500000000000001E-3</v>
      </c>
      <c r="P68" s="5">
        <f t="shared" si="13"/>
        <v>0</v>
      </c>
      <c r="Q68" s="5">
        <f t="shared" si="14"/>
        <v>0</v>
      </c>
      <c r="R68" s="4" t="s">
        <v>166</v>
      </c>
    </row>
    <row r="69" spans="1:18" ht="14.4" customHeight="1">
      <c r="A69" s="3" t="s">
        <v>167</v>
      </c>
      <c r="B69" s="4" t="s">
        <v>165</v>
      </c>
      <c r="C69" s="4" t="s">
        <v>126</v>
      </c>
      <c r="D69" s="5">
        <v>2021</v>
      </c>
      <c r="E69" s="6">
        <v>257912</v>
      </c>
      <c r="F69" s="7">
        <v>1.704</v>
      </c>
      <c r="G69" s="8">
        <v>18.8</v>
      </c>
      <c r="H69" s="8">
        <v>38.85</v>
      </c>
      <c r="I69" s="8">
        <v>25.28</v>
      </c>
      <c r="J69" s="6">
        <v>2568</v>
      </c>
      <c r="K69" s="6">
        <v>1960</v>
      </c>
      <c r="L69" s="6">
        <v>1812</v>
      </c>
      <c r="M69" s="9">
        <f t="shared" si="10"/>
        <v>2.3570000000000002E-3</v>
      </c>
      <c r="N69" s="17">
        <f t="shared" si="11"/>
        <v>38.85</v>
      </c>
      <c r="O69" s="9">
        <f t="shared" si="12"/>
        <v>2.3570000000000002E-3</v>
      </c>
      <c r="P69" s="5">
        <f t="shared" si="13"/>
        <v>0</v>
      </c>
      <c r="Q69" s="5">
        <f t="shared" si="14"/>
        <v>0</v>
      </c>
      <c r="R69" s="4" t="s">
        <v>168</v>
      </c>
    </row>
    <row r="70" spans="1:18" ht="14.4" customHeight="1">
      <c r="A70" s="3" t="s">
        <v>169</v>
      </c>
      <c r="B70" s="4" t="s">
        <v>165</v>
      </c>
      <c r="C70" s="4" t="s">
        <v>126</v>
      </c>
      <c r="D70" s="5">
        <v>2022</v>
      </c>
      <c r="E70" s="6">
        <v>244338</v>
      </c>
      <c r="F70" s="7">
        <v>1.4710000000000001</v>
      </c>
      <c r="G70" s="8">
        <v>19.07</v>
      </c>
      <c r="H70" s="8">
        <v>37.71</v>
      </c>
      <c r="I70" s="8">
        <v>27.48</v>
      </c>
      <c r="J70" s="6">
        <v>2495</v>
      </c>
      <c r="K70" s="6">
        <v>1927</v>
      </c>
      <c r="L70" s="6">
        <v>1587</v>
      </c>
      <c r="M70" s="9">
        <f t="shared" si="10"/>
        <v>2.3249999999999998E-3</v>
      </c>
      <c r="N70" s="17">
        <f t="shared" si="11"/>
        <v>37.71</v>
      </c>
      <c r="O70" s="9">
        <f t="shared" si="12"/>
        <v>2.3249999999999998E-3</v>
      </c>
      <c r="P70" s="5">
        <f t="shared" si="13"/>
        <v>0</v>
      </c>
      <c r="Q70" s="5">
        <f t="shared" si="14"/>
        <v>0</v>
      </c>
      <c r="R70" s="4" t="s">
        <v>170</v>
      </c>
    </row>
    <row r="71" spans="1:18" ht="14.4" customHeight="1">
      <c r="A71" s="3" t="s">
        <v>171</v>
      </c>
      <c r="B71" s="4" t="s">
        <v>165</v>
      </c>
      <c r="C71" s="4" t="s">
        <v>126</v>
      </c>
      <c r="D71" s="5">
        <v>2023</v>
      </c>
      <c r="E71" s="6">
        <v>253639</v>
      </c>
      <c r="F71" s="7">
        <v>1.6</v>
      </c>
      <c r="G71" s="8">
        <v>19.690000000000001</v>
      </c>
      <c r="H71" s="8">
        <v>36.15</v>
      </c>
      <c r="I71" s="8">
        <v>25.78</v>
      </c>
      <c r="J71" s="6">
        <v>2733</v>
      </c>
      <c r="K71" s="6">
        <v>1808</v>
      </c>
      <c r="L71" s="6">
        <v>1521</v>
      </c>
      <c r="M71" s="9">
        <f t="shared" si="10"/>
        <v>3.6470000000000001E-3</v>
      </c>
      <c r="N71" s="17">
        <f t="shared" si="11"/>
        <v>36.15</v>
      </c>
      <c r="O71" s="9">
        <f t="shared" si="12"/>
        <v>3.6470000000000001E-3</v>
      </c>
      <c r="P71" s="5">
        <f t="shared" si="13"/>
        <v>0</v>
      </c>
      <c r="Q71" s="5">
        <f t="shared" si="14"/>
        <v>0</v>
      </c>
      <c r="R71" s="4" t="s">
        <v>172</v>
      </c>
    </row>
    <row r="72" spans="1:18" ht="14.4" customHeight="1">
      <c r="A72" s="3" t="s">
        <v>173</v>
      </c>
      <c r="B72" s="4" t="s">
        <v>165</v>
      </c>
      <c r="C72" s="4" t="s">
        <v>126</v>
      </c>
      <c r="D72" s="5">
        <v>2024</v>
      </c>
      <c r="E72" s="6">
        <v>257449</v>
      </c>
      <c r="F72" s="7">
        <v>1.7170000000000001</v>
      </c>
      <c r="G72" s="8">
        <v>18.66</v>
      </c>
      <c r="H72" s="8">
        <v>36.630000000000003</v>
      </c>
      <c r="I72" s="8">
        <v>26.78</v>
      </c>
      <c r="J72" s="6">
        <v>2641</v>
      </c>
      <c r="K72" s="6">
        <v>1824</v>
      </c>
      <c r="L72" s="6">
        <v>1517</v>
      </c>
      <c r="M72" s="9">
        <f t="shared" si="10"/>
        <v>3.173E-3</v>
      </c>
      <c r="N72" s="17">
        <f t="shared" si="11"/>
        <v>36.630000000000003</v>
      </c>
      <c r="O72" s="9">
        <f t="shared" si="12"/>
        <v>3.173E-3</v>
      </c>
      <c r="P72" s="5">
        <f t="shared" si="13"/>
        <v>0</v>
      </c>
      <c r="Q72" s="5">
        <f t="shared" si="14"/>
        <v>0</v>
      </c>
      <c r="R72" s="4" t="s">
        <v>174</v>
      </c>
    </row>
    <row r="73" spans="1:18" ht="14.4" customHeight="1">
      <c r="A73" s="10" t="s">
        <v>175</v>
      </c>
      <c r="B73" s="11" t="s">
        <v>165</v>
      </c>
      <c r="C73" s="11" t="s">
        <v>126</v>
      </c>
      <c r="D73" s="12">
        <v>2025</v>
      </c>
      <c r="E73" s="13">
        <v>257662</v>
      </c>
      <c r="F73" s="14">
        <v>1.768</v>
      </c>
      <c r="G73" s="15">
        <v>18.440000000000001</v>
      </c>
      <c r="H73" s="15">
        <v>39.409999999999997</v>
      </c>
      <c r="I73" s="15">
        <v>25.46</v>
      </c>
      <c r="J73" s="13">
        <v>2852</v>
      </c>
      <c r="K73" s="13">
        <v>1889</v>
      </c>
      <c r="L73" s="13">
        <v>1558</v>
      </c>
      <c r="M73" s="16">
        <f t="shared" si="10"/>
        <v>3.7369999999999999E-3</v>
      </c>
      <c r="N73" s="18">
        <f t="shared" si="11"/>
        <v>39.409999999999997</v>
      </c>
      <c r="O73" s="16">
        <f t="shared" si="12"/>
        <v>3.7369999999999999E-3</v>
      </c>
      <c r="P73" s="12">
        <f t="shared" si="13"/>
        <v>0</v>
      </c>
      <c r="Q73" s="12">
        <f t="shared" si="14"/>
        <v>0</v>
      </c>
      <c r="R73" s="11" t="s">
        <v>176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2" sqref="A2"/>
    </sheetView>
  </sheetViews>
  <sheetFormatPr defaultRowHeight="13.8"/>
  <cols>
    <col min="1" max="1" width="24.19921875" bestFit="1" customWidth="1"/>
    <col min="2" max="2" width="35.19921875" bestFit="1" customWidth="1"/>
    <col min="3" max="3" width="34.19921875" style="20" customWidth="1"/>
  </cols>
  <sheetData>
    <row r="1" spans="1:3" s="19" customFormat="1">
      <c r="A1" s="21" t="s">
        <v>177</v>
      </c>
      <c r="B1" s="21" t="s">
        <v>181</v>
      </c>
      <c r="C1" s="22" t="s">
        <v>182</v>
      </c>
    </row>
    <row r="2" spans="1:3" s="19" customFormat="1" ht="69">
      <c r="A2" s="25" t="s">
        <v>5</v>
      </c>
      <c r="B2" s="23" t="s">
        <v>183</v>
      </c>
      <c r="C2" s="24" t="s">
        <v>184</v>
      </c>
    </row>
    <row r="3" spans="1:3" s="19" customFormat="1" ht="41.4">
      <c r="A3" s="25" t="s">
        <v>180</v>
      </c>
      <c r="B3" s="23" t="s">
        <v>185</v>
      </c>
      <c r="C3" s="24" t="s">
        <v>186</v>
      </c>
    </row>
    <row r="4" spans="1:3" s="19" customFormat="1" ht="55.2">
      <c r="A4" s="25" t="s">
        <v>13</v>
      </c>
      <c r="B4" s="23" t="s">
        <v>187</v>
      </c>
      <c r="C4" s="24" t="s">
        <v>188</v>
      </c>
    </row>
    <row r="5" spans="1:3" s="19" customFormat="1" ht="27.6">
      <c r="A5" s="25" t="s">
        <v>14</v>
      </c>
      <c r="B5" s="23" t="s">
        <v>187</v>
      </c>
      <c r="C5" s="24" t="s">
        <v>189</v>
      </c>
    </row>
    <row r="6" spans="1:3" s="19" customFormat="1" ht="27.6">
      <c r="A6" s="25" t="s">
        <v>178</v>
      </c>
      <c r="B6" s="23" t="s">
        <v>190</v>
      </c>
      <c r="C6" s="24" t="s">
        <v>191</v>
      </c>
    </row>
    <row r="7" spans="1:3" s="19" customFormat="1" ht="27.6">
      <c r="A7" s="25" t="s">
        <v>179</v>
      </c>
      <c r="B7" s="23" t="s">
        <v>192</v>
      </c>
      <c r="C7" s="24" t="s">
        <v>193</v>
      </c>
    </row>
    <row r="8" spans="1:3" s="19" customFormat="1" ht="27.6">
      <c r="A8" s="25" t="s">
        <v>4</v>
      </c>
      <c r="B8" s="23" t="s">
        <v>194</v>
      </c>
      <c r="C8" s="24" t="s">
        <v>195</v>
      </c>
    </row>
    <row r="9" spans="1:3" s="19" customFormat="1" ht="41.4">
      <c r="A9" s="25" t="s">
        <v>3</v>
      </c>
      <c r="B9" s="23" t="s">
        <v>196</v>
      </c>
      <c r="C9" s="24" t="s">
        <v>197</v>
      </c>
    </row>
    <row r="10" spans="1:3" s="19" customFormat="1" ht="41.4">
      <c r="A10" s="25" t="s">
        <v>2</v>
      </c>
      <c r="B10" s="23" t="s">
        <v>198</v>
      </c>
      <c r="C10" s="2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2026-08-09T14:41:04Z</dcterms:modified>
</cp:coreProperties>
</file>